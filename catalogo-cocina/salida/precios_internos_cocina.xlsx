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Precios!$A$4:$N$188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89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<sst xmlns="http://schemas.openxmlformats.org/spreadsheetml/2006/main" count="849" uniqueCount="452">
  <si>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</si>
  <si>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</si>
  <si>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</si>
  <si>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</si>
  <si>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</si>
  <si>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</si>
  <si>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</si>
  <si>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</si>
  <si>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</si>
  <si>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</si>
  <si>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</si>
  <si>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</si>
  <si>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</si>
  <si>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</si>
  <si>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</si>
  <si>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</si>
  <si>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</si>
  <si>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</si>
  <si>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EGGPAN12 RND G6 EASY CARE BLACK T-F MX</t>
  </si>
  <si>
    <t xml:space="preserve">Mini sartén para huevo Easy Care 12 cm</t>
  </si>
  <si>
    <t xml:space="preserve">EGGPAN 12CM RED T-FAL VIT MX</t>
  </si>
  <si>
    <t xml:space="preserve">Mini sartén para huevo Vital Roja 12 cm</t>
  </si>
  <si>
    <t xml:space="preserve">FRYPAN 20CM RED NS INICIA MX</t>
  </si>
  <si>
    <t xml:space="preserve">Sartén Inicia Roja 20 cm</t>
  </si>
  <si>
    <t xml:space="preserve">BLINIS P12 B SIMPLICITY GREY VIOLINE MX</t>
  </si>
  <si>
    <t xml:space="preserve">Mini sartén Simplicity Gris 12 cm</t>
  </si>
  <si>
    <t xml:space="preserve">SARTEN 20 CM RJ CHARACTER</t>
  </si>
  <si>
    <t xml:space="preserve">Sartén Character Roja 20 cm</t>
  </si>
  <si>
    <t xml:space="preserve">BLINIS P12 COCINA LIMPIA DRESS BLUE MX</t>
  </si>
  <si>
    <t xml:space="preserve">Mini sartén Cocina Limpia Azul 12 cm</t>
  </si>
  <si>
    <t xml:space="preserve">FP20 J GT HEALTHY COOK GREY HIPPO MX</t>
  </si>
  <si>
    <t xml:space="preserve">Sartén Healthy Cook Gris 20 cm</t>
  </si>
  <si>
    <t xml:space="preserve">FRYPAN 24CM NS/NS T-FAL VIT MX TS</t>
  </si>
  <si>
    <t xml:space="preserve">Sartén Vital Negra 24 cm</t>
  </si>
  <si>
    <t xml:space="preserve">SARTEN 24 CM RJ CHARACTER</t>
  </si>
  <si>
    <t xml:space="preserve">Sartén Character Roja 24 cm</t>
  </si>
  <si>
    <t xml:space="preserve">FP20 J LY HIGH SIMPLICITY GREY VIOLIN MX</t>
  </si>
  <si>
    <t xml:space="preserve">Sartén Simplicity Gris 20 cm</t>
  </si>
  <si>
    <t xml:space="preserve">FRYPAN 26CM NS/NS T-FAL VIT MX TS</t>
  </si>
  <si>
    <t xml:space="preserve">Sartén Vital Negra 26 cm</t>
  </si>
  <si>
    <t xml:space="preserve">FRYPAN 26CM RED VITAL MX</t>
  </si>
  <si>
    <t xml:space="preserve">Sartén Vital Roja 26 cm</t>
  </si>
  <si>
    <t xml:space="preserve">SARTEN 20 CM RJ VITAL FR</t>
  </si>
  <si>
    <t xml:space="preserve">Sartén Vital FR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</si>
  <si>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</si>
  <si>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</si>
  <si>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</si>
  <si>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</si>
  <si>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PCKP25 J REG G6 DAY BY DAY BLACK FCE</t>
  </si>
  <si>
    <t xml:space="preserve">Crepera Day by Day Negra 25 cm</t>
  </si>
  <si>
    <t xml:space="preserve">FP26 J LY EVERYDAY TITANIUM BLACK MX</t>
  </si>
  <si>
    <t xml:space="preserve">Sartén Everyday Titanium Negra 26 cm</t>
  </si>
  <si>
    <t xml:space="preserve">FP20 HANAE HARD TITANIUM PLUS BLACK MEX</t>
  </si>
  <si>
    <t xml:space="preserve">Sartén Hard Titanium+ Black 20 cm</t>
  </si>
  <si>
    <t xml:space="preserve">PCKP25 REG COCINA LIMPIA DRESS BLUE MX</t>
  </si>
  <si>
    <t xml:space="preserve">Crepera Cocina Limpia Azul 25 cm</t>
  </si>
  <si>
    <t xml:space="preserve">SARTEN 28 CM RJ CHARACTER</t>
  </si>
  <si>
    <t xml:space="preserve">Sartén Character Roja 28 cm</t>
  </si>
  <si>
    <t xml:space="preserve">FP20 G6 DAY BY DAY BLACK FCE</t>
  </si>
  <si>
    <t xml:space="preserve">Sartén Day by Day Negra 20 cm</t>
  </si>
  <si>
    <t xml:space="preserve">FP26 J LY ESSENTIAL TITA VIOLINE GR MX</t>
  </si>
  <si>
    <t xml:space="preserve">Sartén Essential Titanium Gris 26 cm</t>
  </si>
  <si>
    <t xml:space="preserve">FP24 J LY SIMPLY COOK RED BUG MX</t>
  </si>
  <si>
    <t xml:space="preserve">Sartén Simply Cook Roja 24 cm</t>
  </si>
  <si>
    <t xml:space="preserve">SARTEN 24 CM RJ VITAL FR</t>
  </si>
  <si>
    <t xml:space="preserve">Sartén Vital FR Roja 24 cm</t>
  </si>
  <si>
    <t xml:space="preserve">FP24 HANAE HARD TITANIUM PLUS BLACK MEX</t>
  </si>
  <si>
    <t xml:space="preserve">Sartén Hard Titanium+ Black 24 cm</t>
  </si>
  <si>
    <t xml:space="preserve">FP26 J LYON SIMPLICITY BLACK T-FAL MX</t>
  </si>
  <si>
    <t xml:space="preserve">Sartén Simplicity Negra 26 cm</t>
  </si>
  <si>
    <t xml:space="preserve">FRYPAN 30CM NS/NS T-FAL VIT MX TS</t>
  </si>
  <si>
    <t xml:space="preserve">Sartén Vital Negra 30 cm</t>
  </si>
  <si>
    <t xml:space="preserve">FRYPAN 30CM RED VITAL MX</t>
  </si>
  <si>
    <t xml:space="preserve">Sartén Vital Roja 30 cm</t>
  </si>
  <si>
    <t xml:space="preserve">FP24 G6 DAY BY DAY BLACK FCE</t>
  </si>
  <si>
    <t xml:space="preserve">Sartén Day by Day Negra 24 cm</t>
  </si>
  <si>
    <t xml:space="preserve">FP24 GOUR EASY CKNCLEAN DRESS BL MX</t>
  </si>
  <si>
    <t xml:space="preserve">Sartén Easy Cook &amp; Clean Azul 24 cm</t>
  </si>
  <si>
    <t xml:space="preserve">SARTEN 26 CM RJ VITAL FR</t>
  </si>
  <si>
    <t xml:space="preserve">Sartén Vital FR Roja 26 cm</t>
  </si>
  <si>
    <t xml:space="preserve">FP20 B JUNKO PE XL INTENSE BLACK COF</t>
  </si>
  <si>
    <t xml:space="preserve">Sartén XL Intense Negra 20 cm</t>
  </si>
  <si>
    <t xml:space="preserve">FP26 J LY SIMPLY COOK RED BUG MX</t>
  </si>
  <si>
    <t xml:space="preserve">Sartén Simply Cook Roja 26 cm</t>
  </si>
  <si>
    <t xml:space="preserve">GRILL 26X26 CM EVERYDAY</t>
  </si>
  <si>
    <t xml:space="preserve">Sartén grill Everyday 26 x 26 cm</t>
  </si>
  <si>
    <t xml:space="preserve">FP30 J GT COCINA NATURAL GREY HIPPO MX</t>
  </si>
  <si>
    <t xml:space="preserve">Sartén Cocina Natural Gris 30 cm</t>
  </si>
  <si>
    <t xml:space="preserve">FP20 M LOU ILC G6 START'EASY BLACK TEF</t>
  </si>
  <si>
    <t xml:space="preserve">Sartén Start'Easy Negra 20 cm</t>
  </si>
  <si>
    <t xml:space="preserve">PCKP28 REG COCINA LIMPIA DRESS BLUE MX</t>
  </si>
  <si>
    <t xml:space="preserve">Crepera Cocina Limpia Azul 28 cm</t>
  </si>
  <si>
    <t xml:space="preserve">ST 20 CM HARD TIT EXPERT</t>
  </si>
  <si>
    <t xml:space="preserve">Sartén Hard Titanium Expert 20 cm</t>
  </si>
  <si>
    <t xml:space="preserve">FP30 J LYON SIMPLICITY BLACK T-FAL MX</t>
  </si>
  <si>
    <t xml:space="preserve">Sartén Simplicity Negra 30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</si>
  <si>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</si>
  <si>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</si>
  <si>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</si>
  <si>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</si>
  <si>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</si>
  <si>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</si>
  <si>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FP30 J ZOE PE 2SSP D BY D BLACK MX</t>
  </si>
  <si>
    <t xml:space="preserve">Sartén Day by Day Negra 30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</si>
  <si>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</si>
  <si>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</si>
  <si>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</si>
  <si>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</si>
  <si>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PCKP25 IND DIST PE HARDTITPRO BLACK MX</t>
  </si>
  <si>
    <t xml:space="preserve">Crepera Hard Titanium Pro 25 cm</t>
  </si>
  <si>
    <t xml:space="preserve">FP30 B JUNKO PE XL INTENSE BLACK COFF</t>
  </si>
  <si>
    <t xml:space="preserve">Sartén XL Intense Negra 30 cm</t>
  </si>
  <si>
    <t xml:space="preserve">GRILL P26X26 EASY CKCLEAN BLACK DE</t>
  </si>
  <si>
    <t xml:space="preserve">Sartén grill Easy Cook &amp; Clean Negra 26 x 26 cm</t>
  </si>
  <si>
    <t xml:space="preserve">FP24 B SOFIA PE G6 DELIGHT IND BEIGE SAN</t>
  </si>
  <si>
    <t xml:space="preserve">Sartén Delight Beige 24 cm</t>
  </si>
  <si>
    <t xml:space="preserve">GALET34 COCINA LIMPIA DRESS BLUE MX</t>
  </si>
  <si>
    <t xml:space="preserve">Comal Cocina Limpia Azul 34 cm</t>
  </si>
  <si>
    <t xml:space="preserve">FP32 J YON SIMPLICITY BLACK T-FAL MX</t>
  </si>
  <si>
    <t xml:space="preserve">Sartén Simplicity Negra 32 cm</t>
  </si>
  <si>
    <t xml:space="preserve">GRILLP 26X26 COCINA NAT GREY HIPPO MX</t>
  </si>
  <si>
    <t xml:space="preserve">Sartén grill Cocina Natural Gris 26 x 26 cm</t>
  </si>
  <si>
    <t xml:space="preserve">ST 28 CM HARD TIT EXPERT</t>
  </si>
  <si>
    <t xml:space="preserve">Sartén Hard Titanium Expert 28 cm</t>
  </si>
  <si>
    <t xml:space="preserve">FP22 ML LOTUS G6 NATUR FORCE LAVINIA TEF</t>
  </si>
  <si>
    <t xml:space="preserve">Sartén Natural Force Gris 22 cm</t>
  </si>
  <si>
    <t xml:space="preserve">FP20 IND UNI UNLIMITED PREM COAL GREY</t>
  </si>
  <si>
    <t xml:space="preserve">Sartén Unlimited 20 cm</t>
  </si>
  <si>
    <t xml:space="preserve">SKILLET CAST NS/NS DELICIA</t>
  </si>
  <si>
    <t xml:space="preserve">Sartén Skillet Delicia</t>
  </si>
  <si>
    <t xml:space="preserve">GRILL P26X26 COCINA LIMPIA DRESS BLUE</t>
  </si>
  <si>
    <t xml:space="preserve">Sartén grill Cocina Limpia Azul 26 x 26 cm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</si>
  <si>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</si>
  <si>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</si>
  <si>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</si>
  <si>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</si>
  <si>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FP30 G-CH PE G6 EMOTION SS COAT TEF</t>
  </si>
  <si>
    <t xml:space="preserve">Sartén Emotion 30 cm</t>
  </si>
  <si>
    <t xml:space="preserve">FP24 ML LOTUS ULTIMATE PURP VELVET TF+</t>
  </si>
  <si>
    <t xml:space="preserve">Sartén Ultimate Morada 24 cm</t>
  </si>
  <si>
    <t xml:space="preserve">STP24LID J LENA HARD TITANIUM+BLACK MEX</t>
  </si>
  <si>
    <t xml:space="preserve">Sartén honda Hard Titanium+ Black 24 cm con tapa</t>
  </si>
  <si>
    <t xml:space="preserve">FP30 IND LOTUS PE HARDTITAPRO BLACK MX</t>
  </si>
  <si>
    <t xml:space="preserve">Sartén Hard Titanium Pro 30 cm</t>
  </si>
  <si>
    <t xml:space="preserve">FP28 IND LOTUS UNLIMITED PREM COAL GREY</t>
  </si>
  <si>
    <t xml:space="preserve">Sartén Unlimited 28 cm</t>
  </si>
  <si>
    <t xml:space="preserve">STP24LID B STR LOW ILC FORCE BLACK FR</t>
  </si>
  <si>
    <t xml:space="preserve">Sartén honda Force Negra 24 cm con tapa</t>
  </si>
  <si>
    <t xml:space="preserve">STP24LID B STR LOW ILC G6 START'EASY BLA</t>
  </si>
  <si>
    <t xml:space="preserve">Sartén honda Start'Easy Negra 24 cm con tapa</t>
  </si>
  <si>
    <t xml:space="preserve">STN CT 30CM NERA GO</t>
  </si>
  <si>
    <t xml:space="preserve">Sartén Nera 30 cm con tapa</t>
  </si>
  <si>
    <t xml:space="preserve">STP24LID IND STR UNLIMITED PREM COAL GR</t>
  </si>
  <si>
    <t xml:space="preserve">Sartén honda Unlimited 24 cm con tapa</t>
  </si>
  <si>
    <t xml:space="preserve">Juegos de sartenes</t>
  </si>
  <si>
    <t xml:space="preserve">JGO STN 20/24 CM NGO EASY CARE</t>
  </si>
  <si>
    <t xml:space="preserve">Juego de 2 sartenes Easy Care Negro 20 y 24 cm</t>
  </si>
  <si>
    <t xml:space="preserve">JGO STN 20/24 CM ROJO EASY CARE</t>
  </si>
  <si>
    <t xml:space="preserve">Juego de 2 sartenes Easy Care Rojo</t>
  </si>
  <si>
    <t xml:space="preserve">SET FP20/26 G6 EASY-CARE BLACK T-F MX</t>
  </si>
  <si>
    <t xml:space="preserve">Juego de 2 sartenes Easy Care Negro 20 y 26 cm</t>
  </si>
  <si>
    <t xml:space="preserve">JGO STN 20/24 CM AZUL INICIA</t>
  </si>
  <si>
    <t xml:space="preserve">Juego de 2 sartenes Inicia Azul</t>
  </si>
  <si>
    <t xml:space="preserve">T EXCITE NS RED 8/10.5IN FP SET- 2018</t>
  </si>
  <si>
    <t xml:space="preserve">Juego de 2 sartenes Excite Rojo</t>
  </si>
  <si>
    <t xml:space="preserve">SET FP20/GRID G6 EASY-CARE BLACK T-F MX</t>
  </si>
  <si>
    <t xml:space="preserve">Juego Easy Care Negro: sartén + grill</t>
  </si>
  <si>
    <t xml:space="preserve">JGO STN 20/24 CM RJ ELEGANCE</t>
  </si>
  <si>
    <t xml:space="preserve">Juego de 2 sartenes Elegance Rojo</t>
  </si>
  <si>
    <t xml:space="preserve">SET FP20/FPW28 G6 EASY-CARE BLACK T-F MX</t>
  </si>
  <si>
    <t xml:space="preserve">Juego Easy Care Negro: sartén + wok</t>
  </si>
  <si>
    <t xml:space="preserve">SET SRTNS 20/28CM NG FR 2022 EASY CARE</t>
  </si>
  <si>
    <t xml:space="preserve">Juego de 2 sartenes Easy Care Negro 20 y 28 cm</t>
  </si>
  <si>
    <t xml:space="preserve">JGO 20/28 NGO CHARACTER</t>
  </si>
  <si>
    <t xml:space="preserve">Juego de 2 sartenes Character Negro</t>
  </si>
  <si>
    <t xml:space="preserve">SET 3P G6 EASY-CARE BLACK T-F MX</t>
  </si>
  <si>
    <t xml:space="preserve">Set Easy Care Negro 3 piezas</t>
  </si>
  <si>
    <t xml:space="preserve">SET FP24/30 J GOUR G6 COCINA NAT HIPP MX</t>
  </si>
  <si>
    <t xml:space="preserve">Juego de 2 sartenes Cocina Natural Gris</t>
  </si>
  <si>
    <t xml:space="preserve">T COOK N STRAIN NS BLK 9.5/11IN FP 2PK</t>
  </si>
  <si>
    <t xml:space="preserve">Juego de 2 sartenes Cook &amp; Strain Negro</t>
  </si>
  <si>
    <t xml:space="preserve">JGO STN 20/24/28 BLACK ELEGANCE</t>
  </si>
  <si>
    <t xml:space="preserve">Juego de 3 sartenes Elegance Negro</t>
  </si>
  <si>
    <t xml:space="preserve">SET FP20+PCKP25 HEALTHY COOK GR HIPPO MX</t>
  </si>
  <si>
    <t xml:space="preserve">Set Healthy Cook Gris: sartén + crepera</t>
  </si>
  <si>
    <t xml:space="preserve">JGO 20/24  SIMPLICITY BLACK</t>
  </si>
  <si>
    <t xml:space="preserve">Juego de 2 sartenes Simplicity Negro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</si>
  <si>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</si>
  <si>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</si>
  <si>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</si>
  <si>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</si>
  <si>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SET 3 FP G6 PURE COOK BLACK T-F MX</t>
  </si>
  <si>
    <t xml:space="preserve">Juego de 3 sartenes Pure Cook Negro</t>
  </si>
  <si>
    <t xml:space="preserve">SET FP24/30 JUNKO PE XL INTENS BL COF UL</t>
  </si>
  <si>
    <t xml:space="preserve">Juego de 2 sartenes XL Intense Negro</t>
  </si>
  <si>
    <t xml:space="preserve">JGO 24/30 SIMPLY COOK RED</t>
  </si>
  <si>
    <t xml:space="preserve">Juego de 2 sartenes Simply Cook Rojo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</si>
  <si>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</si>
  <si>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</si>
  <si>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</si>
  <si>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</si>
  <si>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</si>
  <si>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</si>
  <si>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4P(FP) ING5 DUR5 TCPG TP5 AN GREY FC</t>
  </si>
  <si>
    <t xml:space="preserve">Set Ingenio Gris 4 piezas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</si>
  <si>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</si>
  <si>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</si>
  <si>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</si>
  <si>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</si>
  <si>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SET FP 20/28 G6 BLACK STONE MX</t>
  </si>
  <si>
    <t xml:space="preserve">Juego de 2 sartenes Black Stone</t>
  </si>
  <si>
    <t xml:space="preserve">SET FP 20/28 IND NATURAL FORCE GREY MX</t>
  </si>
  <si>
    <t xml:space="preserve">Juego de 2 sartenes Natural Force Gris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</si>
  <si>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</si>
  <si>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</si>
  <si>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</si>
  <si>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</si>
  <si>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</si>
  <si>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</si>
  <si>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</si>
  <si>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</si>
  <si>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</si>
  <si>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</si>
  <si>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</si>
  <si>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COCOTTE 20CM NS/NS DELICIA</t>
  </si>
  <si>
    <t xml:space="preserve">Cocotte Delicia 20 cm con tapa</t>
  </si>
  <si>
    <t xml:space="preserve">SCP20LID J LENEXLOW COCINA NAT GR HIP MX</t>
  </si>
  <si>
    <t xml:space="preserve">Cazo Cocina Natural Gris 20 cm con tapa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</si>
  <si>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</si>
  <si>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</si>
  <si>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</si>
  <si>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</si>
  <si>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SCP16 IND STR UNLIMITED PREM COAL GREY</t>
  </si>
  <si>
    <t xml:space="preserve">Cazo Unlimited 16 cm</t>
  </si>
  <si>
    <t xml:space="preserve">D.OV24LID J LENEXLOW COCINA NAT G HIP MX</t>
  </si>
  <si>
    <t xml:space="preserve">Cacerola Cocina Natural Gris 24 cm con tapa</t>
  </si>
  <si>
    <t xml:space="preserve">D.OV24LID LENEXLOW COCINA LIMP DRESS BLU</t>
  </si>
  <si>
    <t xml:space="preserve">Cacerola Cocina Limpia Azul 24 cm con tapa</t>
  </si>
  <si>
    <t xml:space="preserve">CAZO CT 18CM NERA GO</t>
  </si>
  <si>
    <t xml:space="preserve">Cazo Nera 18 cm con tapa</t>
  </si>
  <si>
    <t xml:space="preserve">STW24LID B LENA HARD TITANIUM + BLACK MX</t>
  </si>
  <si>
    <t xml:space="preserve">Olla Hard Titanium+ Black 24 cm con tapa</t>
  </si>
  <si>
    <t xml:space="preserve">POZOLERA 26 CM C/T SUPERCOOK</t>
  </si>
  <si>
    <t xml:space="preserve">Pozolera Supercook 26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</si>
  <si>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</si>
  <si>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</si>
  <si>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</si>
  <si>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</si>
  <si>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</si>
  <si>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</si>
  <si>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ARROCERA CT 28CM NERA</t>
  </si>
  <si>
    <t xml:space="preserve">Arrocera Nera 28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</si>
  <si>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</si>
  <si>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</si>
  <si>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</si>
  <si>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SET 17PCS SIMPLY COOK BLACK MX</t>
  </si>
  <si>
    <t xml:space="preserve">Batería Simply Cook Negra 17 piezas</t>
  </si>
  <si>
    <t xml:space="preserve">SET 5PCS ELEM STONE T-FAL MX</t>
  </si>
  <si>
    <t xml:space="preserve">Batería Elemental Stone 5 piezas</t>
  </si>
  <si>
    <t xml:space="preserve">SET 7PCS ELEMENTAL SONE MX</t>
  </si>
  <si>
    <t xml:space="preserve">Batería Elemental Stone 7 piezas</t>
  </si>
  <si>
    <t xml:space="preserve">BATERIA 10 PZS NEGRA EASY CARE</t>
  </si>
  <si>
    <t xml:space="preserve">Batería Easy Care Negra 10 piezas</t>
  </si>
  <si>
    <t xml:space="preserve">SET 7PCS G6 COOK EAT SS REV TEF CO</t>
  </si>
  <si>
    <t xml:space="preserve">Batería Cook &amp; Eat 7 piezas</t>
  </si>
  <si>
    <t xml:space="preserve">BAT 11 PZS EXPERT CHEF BF MAYOREO</t>
  </si>
  <si>
    <t xml:space="preserve">Batería Expert Chef 11 piezas</t>
  </si>
  <si>
    <t xml:space="preserve">BATERÍA 13 PCS NGO MADRES 24 WM</t>
  </si>
  <si>
    <t xml:space="preserve">Batería Negra 13 piezas</t>
  </si>
  <si>
    <t xml:space="preserve">SET 12P ONLY COOK BLACK T-F MX</t>
  </si>
  <si>
    <t xml:space="preserve">Batería Only Cook Negra 12 piezas</t>
  </si>
  <si>
    <t xml:space="preserve">SET 12P ONLY COOK RED SURP T-F MX</t>
  </si>
  <si>
    <t xml:space="preserve">Batería Only Cook Roja 12 piezas</t>
  </si>
  <si>
    <t xml:space="preserve">T INITIATIVES BLACK NS 10 PC SET</t>
  </si>
  <si>
    <t xml:space="preserve">Batería Initiatives Negra 10 piezas</t>
  </si>
  <si>
    <t xml:space="preserve">SET 20P G6 EASY CARE BLACK MX</t>
  </si>
  <si>
    <t xml:space="preserve">Batería Easy Care Negra 20 piezas</t>
  </si>
  <si>
    <t xml:space="preserve">BAT 9 PZS LIC NEGRA SUPERCOOK V2</t>
  </si>
  <si>
    <t xml:space="preserve">Batería Supercook 9 piezas + licuadora</t>
  </si>
  <si>
    <t xml:space="preserve">SET 4P ING6 IND BLACKSTONE BLACK</t>
  </si>
  <si>
    <t xml:space="preserve">Set Ingenio Blackstone 4 piezas</t>
  </si>
  <si>
    <t xml:space="preserve">SET 12PCS PLATINUM N/S BLACK T-F MEX</t>
  </si>
  <si>
    <t xml:space="preserve">Batería Platinum Negra 12 piezas</t>
  </si>
  <si>
    <t xml:space="preserve">SET 6P HARD TITANIUM + BLACK MX</t>
  </si>
  <si>
    <t xml:space="preserve">Set Hard Titanium+ Black 6 piezas</t>
  </si>
  <si>
    <t xml:space="preserve">SET 5PZ COCINA NATURAL</t>
  </si>
  <si>
    <t xml:space="preserve">Batería Cocina Natural 5 piezas</t>
  </si>
  <si>
    <t xml:space="preserve">T CULINARE NS CHAM 16 PC SET</t>
  </si>
  <si>
    <t xml:space="preserve">Batería Culinaire Champagne 16 piezas</t>
  </si>
  <si>
    <t xml:space="preserve">SET 20P G6 EASY CARE WM GREY SILV MX</t>
  </si>
  <si>
    <t xml:space="preserve">Batería Easy Care Gris 20 piezas</t>
  </si>
  <si>
    <t xml:space="preserve">SET 20P G6 EASY CARE WM RED SURP MX</t>
  </si>
  <si>
    <t xml:space="preserve">Batería Easy Care Roja 20 piezas</t>
  </si>
  <si>
    <t xml:space="preserve">BATERÍA 13 PCS RJ MADRES 24 WM</t>
  </si>
  <si>
    <t xml:space="preserve">Batería Roja 13 piezas</t>
  </si>
  <si>
    <t xml:space="preserve">SET 4 PCS DELIGHT</t>
  </si>
  <si>
    <t xml:space="preserve">Batería Delight Beige 4 piezas</t>
  </si>
  <si>
    <t xml:space="preserve">BATERIA 17 PZS ROJA EASY CARE</t>
  </si>
  <si>
    <t xml:space="preserve">Batería Easy Care Roja 17 piezas</t>
  </si>
  <si>
    <t xml:space="preserve">SET 6P SS G6 PRIMARY T-F MX</t>
  </si>
  <si>
    <t xml:space="preserve">Batería Primary 6 piezas</t>
  </si>
  <si>
    <t xml:space="preserve">T EXCITE NS BLUE 14 SET- 2018</t>
  </si>
  <si>
    <t xml:space="preserve">Batería Excite Azul 14 piezas</t>
  </si>
  <si>
    <t xml:space="preserve">T EXCITE NS RED 14PC SET- 2018</t>
  </si>
  <si>
    <t xml:space="preserve">Batería Excite Roja 14 piezas</t>
  </si>
  <si>
    <t xml:space="preserve">SET 7PCES SS DUETTO + TEF</t>
  </si>
  <si>
    <t xml:space="preserve">Batería Duetto+ 7 piezas</t>
  </si>
  <si>
    <t xml:space="preserve">SET 26PCS SUPERCOOK RED SURP SU MX</t>
  </si>
  <si>
    <t xml:space="preserve">Batería Supercook Roja 26 piezas</t>
  </si>
  <si>
    <t xml:space="preserve">BATERIA INOX 6 PCS INTUITION</t>
  </si>
  <si>
    <t xml:space="preserve">Batería Intuition 6 piezas</t>
  </si>
  <si>
    <t xml:space="preserve">SET 6P ING6 IND BLACKSTONE BLACK</t>
  </si>
  <si>
    <t xml:space="preserve">Set Ingenio Blackstone 6 piezas</t>
  </si>
  <si>
    <t xml:space="preserve">BATERIA 11 PCS + LICUADORA BF WMCOM</t>
  </si>
  <si>
    <t xml:space="preserve">Batería 11 piezas + licuadora</t>
  </si>
  <si>
    <t xml:space="preserve">T PERFORMA PRO 14PC SET</t>
  </si>
  <si>
    <t xml:space="preserve">Batería Performa Pro 14 piezas</t>
  </si>
  <si>
    <t xml:space="preserve">SET 11PCS XL INTENSE BLACK COF UL MX</t>
  </si>
  <si>
    <t xml:space="preserve">Batería XL Intense 11 piezas</t>
  </si>
  <si>
    <t xml:space="preserve">T-FAL PLATINUM 10PC SET BLUE/GREY STORE</t>
  </si>
  <si>
    <t xml:space="preserve">Batería Platinum Azul/Gris 10 piezas</t>
  </si>
  <si>
    <t xml:space="preserve">BAT 8 PZS HEALTHY COOK</t>
  </si>
  <si>
    <t xml:space="preserve">Batería Healthy Cook 8 piezas</t>
  </si>
  <si>
    <t xml:space="preserve">INGENIO ESSENTIAL PTFE 14PC SET</t>
  </si>
  <si>
    <t xml:space="preserve">Batería Ingenio Essential 14 piezas</t>
  </si>
  <si>
    <t xml:space="preserve">SET 8P HARD STONE GREY STONE AE</t>
  </si>
  <si>
    <t xml:space="preserve">Batería Hard Stone Gris 8 piezas</t>
  </si>
  <si>
    <t xml:space="preserve">BATERIA INOX 8 PCS INTUITION</t>
  </si>
  <si>
    <t xml:space="preserve">Batería Intuition 8 piezas</t>
  </si>
  <si>
    <t xml:space="preserve">SET 12PCS XL FORCE TWINKLE MX</t>
  </si>
  <si>
    <t xml:space="preserve">Batería XL Force 12 piezas</t>
  </si>
  <si>
    <t xml:space="preserve">BATERIA 10 PZ FORCE</t>
  </si>
  <si>
    <t xml:space="preserve">Batería Force 10 piezas</t>
  </si>
  <si>
    <t xml:space="preserve">BATERIA 12 PZ INTENSE</t>
  </si>
  <si>
    <t xml:space="preserve">Batería Intense 12 piezas</t>
  </si>
  <si>
    <t xml:space="preserve">BATERIA 12PZS NERA</t>
  </si>
  <si>
    <t xml:space="preserve">Batería Nera 12 piezas</t>
  </si>
  <si>
    <t xml:space="preserve">BAT 9PC UNLIMITED</t>
  </si>
  <si>
    <t xml:space="preserve">Batería Unlimited 9 piezas</t>
  </si>
  <si>
    <t xml:space="preserve">Accesorios</t>
  </si>
  <si>
    <t xml:space="preserve">INGENIO REMOVEABLE HANDLE BASIC</t>
  </si>
  <si>
    <t xml:space="preserve">Mango desmontable Ingenio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</si>
  <si>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</si>
  <si>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</si>
  <si>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</si>
  <si>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</si>
  <si>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</si>
  <si>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</si>
  <si>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</si>
  <si>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</si>
  <si>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</si>
  <si>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</si>
  <si>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</si>
  <si>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</si>
  <si>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</si>
  <si>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</si>
  <si>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</si>
  <si>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</si>
  <si>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</si>
  <si>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</si>
  <si>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</si>
  <si>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</si>
  <si>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</si>
  <si>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</si>
  <si>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</si>
  <si>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</si>
  <si>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</si>
  <si>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</si>
  <si>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</si>
  <si>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</si>
  <si>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</si>
  <si>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</si>
  <si>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</si>
  <si>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</si>
  <si>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</si>
  <si>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</si>
  <si>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</si>
  <si>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</si>
  <si>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</si>
  <si>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</si>
  <si>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</si>
  <si>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</si>
  <si>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</si>
  <si>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</si>
  <si>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</si>
  <si>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</si>
  <si>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</si>
  <si>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</si>
  <si>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</si>
  <si>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</si>
  <si>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</si>
  <si>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</si>
  <si>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</si>
  <si>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</si>
  <si>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</si>
  <si>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</si>
  <si>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</si>
  <si>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</si>
  <si>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</si>
  <si>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</si>
  <si>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</si>
  <si>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</si>
  <si>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</si>
  <si>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</si>
  <si>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</si>
  <si>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</si>
  <si>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</si>
  <si>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</si>
  <si>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</si>
  <si>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</si>
  <si>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</si>
  <si>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</si>
  <si>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</si>
  <si>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</si>
  <si>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</si>
  <si>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</si>
  <si>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</si>
  <si>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</si>
  <si>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</si>
  <si>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</si>
  <si>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o repetidos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</si>
  <si>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</si>
  <si>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</si>
  <si>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</si>
  <si>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</si>
  <si>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</si>
  <si>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</si>
  <si>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</si>
  <si>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</si>
  <si>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STP24LID J LENA COCINA LIMPIA DRESS BLU</t>
  </si>
  <si>
    <t xml:space="preserve">CALDERO 14 CM NS/NS DELICIA</t>
  </si>
  <si>
    <t xml:space="preserve">(nombre cortado en la foto, CW &amp; BW, 1)</t>
  </si>
  <si>
    <t xml:space="preserve">Nombre (cortado en la foto)</t>
  </si>
  <si>
    <t xml:space="preserve">(nombre cortado en la foto, CW &amp; BW, 2)</t>
  </si>
  <si>
    <t xml:space="preserve">SET 3FP HARD TITANIUM + BLACK MX</t>
  </si>
  <si>
    <t xml:space="preserve">JGO STN 24/30 CM NGO EASY CARE</t>
  </si>
  <si>
    <t xml:space="preserve">FRYPAN 24CM NS/NS INICIA T-FAL MX</t>
  </si>
  <si>
    <t xml:space="preserve">SET FP24/30 JUNK PE XLSTRENGTH RED SUR</t>
  </si>
  <si>
    <t xml:space="preserve">T INITIATIVES BLACK NS 18 PC SET</t>
  </si>
  <si>
    <t xml:space="preserve">QUICK CHEF+</t>
  </si>
  <si>
    <t xml:space="preserve">(nombre cortado en la foto)</t>
  </si>
  <si>
    <t xml:space="preserve">SET FP20/24 G6 E-CARE RED SURP T-F MX</t>
  </si>
  <si>
    <t xml:space="preserve">Repetido: en el catálogo se usa JGO STN 20/24 CM ROJO EASY CARE ($183.46), que te cuesta menos</t>
  </si>
  <si>
    <t xml:space="preserve">SET 3P HARD TITANIUM + BLACK MX</t>
  </si>
  <si>
    <t xml:space="preserve">Repetido: en el catálogo se usa SET 3P HANAE HARD TITANIUM + BLACK MX ($515.85), que te cuesta menos</t>
  </si>
  <si>
    <t xml:space="preserve">SCP20LID B LENA HARD TITANIUM+ BLACK MX</t>
  </si>
  <si>
    <t xml:space="preserve">Repetido: en el catálogo se usa SCP20LID B LENA HARD TITANIUM + BLACK MX ($324.70), que te cuesta menos</t>
  </si>
  <si>
    <t xml:space="preserve">REMOV HDL ING 6 MOUNTED BASIC TEF FR</t>
  </si>
  <si>
    <t xml:space="preserve">Repetido: en el catálogo se usa INGENIO REMOVEABLE HANDLE BASIC ($129.01), que te cuesta menos</t>
  </si>
  <si>
    <t xml:space="preserve">FP30 G6 DAY BY DAY BLACK FCE</t>
  </si>
  <si>
    <t xml:space="preserve">Repetido: en el catálogo se usa FP30 J ZOE PE 2SSP D BY D BLACK MX ($217.62), que te cuesta menos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</si>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</sst>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43.18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77.724</v>
      </c>
      <c r="K5" s="10" t="n">
        <f aca="false">IF(J5&lt;1000,CEILING(J5,10)-1,CEILING(J5,50)-1)</f>
        <v>79</v>
      </c>
      <c r="L5" s="9" t="n">
        <f aca="false">K5-F5</f>
        <v>35.82</v>
      </c>
      <c r="M5" s="11" t="n">
        <f aca="false">IF(K5=0,"",L5/K5)</f>
        <v>0.453417721518987</v>
      </c>
      <c r="N5" s="11" t="n">
        <f aca="false">IF(F5=0,"",K5/F5-1)</f>
        <v>0.829550717924965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48.93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88.074</v>
      </c>
      <c r="K6" s="10" t="n">
        <f aca="false">IF(J6&lt;1000,CEILING(J6,10)-1,CEILING(J6,50)-1)</f>
        <v>89</v>
      </c>
      <c r="L6" s="9" t="n">
        <f aca="false">K6-F6</f>
        <v>40.07</v>
      </c>
      <c r="M6" s="11" t="n">
        <f aca="false">IF(K6=0,"",L6/K6)</f>
        <v>0.450224719101124</v>
      </c>
      <c r="N6" s="11" t="n">
        <f aca="false">IF(F6=0,"",K6/F6-1)</f>
        <v>0.81892499489066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76.49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137.682</v>
      </c>
      <c r="K7" s="10" t="n">
        <f aca="false">IF(J7&lt;1000,CEILING(J7,10)-1,CEILING(J7,50)-1)</f>
        <v>139</v>
      </c>
      <c r="L7" s="9" t="n">
        <f aca="false">K7-F7</f>
        <v>62.51</v>
      </c>
      <c r="M7" s="11" t="n">
        <f aca="false">IF(K7=0,"",L7/K7)</f>
        <v>0.449712230215827</v>
      </c>
      <c r="N7" s="11" t="n">
        <f aca="false">IF(F7=0,"",K7/F7-1)</f>
        <v>0.81723101058962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92.97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167.346</v>
      </c>
      <c r="K8" s="10" t="n">
        <f aca="false">IF(J8&lt;1000,CEILING(J8,10)-1,CEILING(J8,50)-1)</f>
        <v>169</v>
      </c>
      <c r="L8" s="9" t="n">
        <f aca="false">K8-F8</f>
        <v>76.03</v>
      </c>
      <c r="M8" s="11" t="n">
        <f aca="false">IF(K8=0,"",L8/K8)</f>
        <v>0.449881656804734</v>
      </c>
      <c r="N8" s="11" t="n">
        <f aca="false">IF(F8=0,"",K8/F8-1)</f>
        <v>0.817790685167258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96.1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172.98</v>
      </c>
      <c r="K9" s="10" t="n">
        <f aca="false">IF(J9&lt;1000,CEILING(J9,10)-1,CEILING(J9,50)-1)</f>
        <v>179</v>
      </c>
      <c r="L9" s="9" t="n">
        <f aca="false">K9-F9</f>
        <v>82.9</v>
      </c>
      <c r="M9" s="11" t="n">
        <f aca="false">IF(K9=0,"",L9/K9)</f>
        <v>0.463128491620112</v>
      </c>
      <c r="N9" s="11" t="n">
        <f aca="false">IF(F9=0,"",K9/F9-1)</f>
        <v>0.86264308012487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105.49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189.882</v>
      </c>
      <c r="K10" s="10" t="n">
        <f aca="false">IF(J10&lt;1000,CEILING(J10,10)-1,CEILING(J10,50)-1)</f>
        <v>189</v>
      </c>
      <c r="L10" s="9" t="n">
        <f aca="false">K10-F10</f>
        <v>83.51</v>
      </c>
      <c r="M10" s="11" t="n">
        <f aca="false">IF(K10=0,"",L10/K10)</f>
        <v>0.441851851851852</v>
      </c>
      <c r="N10" s="11" t="n">
        <f aca="false">IF(F10=0,"",K10/F10-1)</f>
        <v>0.79163901791639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109.36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196.848</v>
      </c>
      <c r="K11" s="10" t="n">
        <f aca="false">IF(J11&lt;1000,CEILING(J11,10)-1,CEILING(J11,50)-1)</f>
        <v>199</v>
      </c>
      <c r="L11" s="9" t="n">
        <f aca="false">K11-F11</f>
        <v>89.64</v>
      </c>
      <c r="M11" s="11" t="n">
        <f aca="false">IF(K11=0,"",L11/K11)</f>
        <v>0.450452261306533</v>
      </c>
      <c r="N11" s="11" t="n">
        <f aca="false">IF(F11=0,"",K11/F11-1)</f>
        <v>0.819678127286028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109.01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196.218</v>
      </c>
      <c r="K12" s="10" t="n">
        <f aca="false">IF(J12&lt;1000,CEILING(J12,10)-1,CEILING(J12,50)-1)</f>
        <v>199</v>
      </c>
      <c r="L12" s="9" t="n">
        <f aca="false">K12-F12</f>
        <v>89.99</v>
      </c>
      <c r="M12" s="11" t="n">
        <f aca="false">IF(K12=0,"",L12/K12)</f>
        <v>0.452211055276382</v>
      </c>
      <c r="N12" s="11" t="n">
        <f aca="false">IF(F12=0,"",K12/F12-1)</f>
        <v>0.825520594440877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114.24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205.632</v>
      </c>
      <c r="K13" s="10" t="n">
        <f aca="false">IF(J13&lt;1000,CEILING(J13,10)-1,CEILING(J13,50)-1)</f>
        <v>209</v>
      </c>
      <c r="L13" s="9" t="n">
        <f aca="false">K13-F13</f>
        <v>94.76</v>
      </c>
      <c r="M13" s="11" t="n">
        <f aca="false">IF(K13=0,"",L13/K13)</f>
        <v>0.453397129186603</v>
      </c>
      <c r="N13" s="11" t="n">
        <f aca="false">IF(F13=0,"",K13/F13-1)</f>
        <v>0.829481792717087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112.76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202.968</v>
      </c>
      <c r="K14" s="10" t="n">
        <f aca="false">IF(J14&lt;1000,CEILING(J14,10)-1,CEILING(J14,50)-1)</f>
        <v>209</v>
      </c>
      <c r="L14" s="9" t="n">
        <f aca="false">K14-F14</f>
        <v>96.24</v>
      </c>
      <c r="M14" s="11" t="n">
        <f aca="false">IF(K14=0,"",L14/K14)</f>
        <v>0.460478468899522</v>
      </c>
      <c r="N14" s="11" t="n">
        <f aca="false">IF(F14=0,"",K14/F14-1)</f>
        <v>0.853494146860589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120.02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216.036</v>
      </c>
      <c r="K15" s="10" t="n">
        <f aca="false">IF(J15&lt;1000,CEILING(J15,10)-1,CEILING(J15,50)-1)</f>
        <v>219</v>
      </c>
      <c r="L15" s="9" t="n">
        <f aca="false">K15-F15</f>
        <v>98.98</v>
      </c>
      <c r="M15" s="11" t="n">
        <f aca="false">IF(K15=0,"",L15/K15)</f>
        <v>0.451963470319635</v>
      </c>
      <c r="N15" s="11" t="n">
        <f aca="false">IF(F15=0,"",K15/F15-1)</f>
        <v>0.82469588401933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117.55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211.59</v>
      </c>
      <c r="K16" s="10" t="n">
        <f aca="false">IF(J16&lt;1000,CEILING(J16,10)-1,CEILING(J16,50)-1)</f>
        <v>219</v>
      </c>
      <c r="L16" s="9" t="n">
        <f aca="false">K16-F16</f>
        <v>101.45</v>
      </c>
      <c r="M16" s="11" t="n">
        <f aca="false">IF(K16=0,"",L16/K16)</f>
        <v>0.46324200913242</v>
      </c>
      <c r="N16" s="11" t="n">
        <f aca="false">IF(F16=0,"",K16/F16-1)</f>
        <v>0.863037005529562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126.08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226.944</v>
      </c>
      <c r="K17" s="10" t="n">
        <f aca="false">IF(J17&lt;1000,CEILING(J17,10)-1,CEILING(J17,50)-1)</f>
        <v>229</v>
      </c>
      <c r="L17" s="9" t="n">
        <f aca="false">K17-F17</f>
        <v>102.92</v>
      </c>
      <c r="M17" s="11" t="n">
        <f aca="false">IF(K17=0,"",L17/K17)</f>
        <v>0.44943231441048</v>
      </c>
      <c r="N17" s="11" t="n">
        <f aca="false">IF(F17=0,"",K17/F17-1)</f>
        <v>0.816307106598985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128.23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230.814</v>
      </c>
      <c r="K18" s="10" t="n">
        <f aca="false">IF(J18&lt;1000,CEILING(J18,10)-1,CEILING(J18,50)-1)</f>
        <v>239</v>
      </c>
      <c r="L18" s="9" t="n">
        <f aca="false">K18-F18</f>
        <v>110.77</v>
      </c>
      <c r="M18" s="11" t="n">
        <f aca="false">IF(K18=0,"",L18/K18)</f>
        <v>0.46347280334728</v>
      </c>
      <c r="N18" s="11" t="n">
        <f aca="false">IF(F18=0,"",K18/F18-1)</f>
        <v>0.863838415347423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131.98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237.564</v>
      </c>
      <c r="K19" s="10" t="n">
        <f aca="false">IF(J19&lt;1000,CEILING(J19,10)-1,CEILING(J19,50)-1)</f>
        <v>239</v>
      </c>
      <c r="L19" s="9" t="n">
        <f aca="false">K19-F19</f>
        <v>107.02</v>
      </c>
      <c r="M19" s="11" t="n">
        <f aca="false">IF(K19=0,"",L19/K19)</f>
        <v>0.447782426778243</v>
      </c>
      <c r="N19" s="11" t="n">
        <f aca="false">IF(F19=0,"",K19/F19-1)</f>
        <v>0.810880436429762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138.17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248.706</v>
      </c>
      <c r="K20" s="10" t="n">
        <f aca="false">IF(J20&lt;1000,CEILING(J20,10)-1,CEILING(J20,50)-1)</f>
        <v>249</v>
      </c>
      <c r="L20" s="9" t="n">
        <f aca="false">K20-F20</f>
        <v>110.83</v>
      </c>
      <c r="M20" s="11" t="n">
        <f aca="false">IF(K20=0,"",L20/K20)</f>
        <v>0.445100401606426</v>
      </c>
      <c r="N20" s="11" t="n">
        <f aca="false">IF(F20=0,"",K20/F20-1)</f>
        <v>0.802127813563002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136.37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245.466</v>
      </c>
      <c r="K21" s="10" t="n">
        <f aca="false">IF(J21&lt;1000,CEILING(J21,10)-1,CEILING(J21,50)-1)</f>
        <v>249</v>
      </c>
      <c r="L21" s="9" t="n">
        <f aca="false">K21-F21</f>
        <v>112.63</v>
      </c>
      <c r="M21" s="11" t="n">
        <f aca="false">IF(K21=0,"",L21/K21)</f>
        <v>0.452329317269076</v>
      </c>
      <c r="N21" s="11" t="n">
        <f aca="false">IF(F21=0,"",K21/F21-1)</f>
        <v>0.825914790643103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134.19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241.542</v>
      </c>
      <c r="K22" s="10" t="n">
        <f aca="false">IF(J22&lt;1000,CEILING(J22,10)-1,CEILING(J22,50)-1)</f>
        <v>249</v>
      </c>
      <c r="L22" s="9" t="n">
        <f aca="false">K22-F22</f>
        <v>114.81</v>
      </c>
      <c r="M22" s="11" t="n">
        <f aca="false">IF(K22=0,"",L22/K22)</f>
        <v>0.461084337349398</v>
      </c>
      <c r="N22" s="11" t="n">
        <f aca="false">IF(F22=0,"",K22/F22-1)</f>
        <v>0.85557791191594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141.44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254.592</v>
      </c>
      <c r="K23" s="10" t="n">
        <f aca="false">IF(J23&lt;1000,CEILING(J23,10)-1,CEILING(J23,50)-1)</f>
        <v>259</v>
      </c>
      <c r="L23" s="9" t="n">
        <f aca="false">K23-F23</f>
        <v>117.56</v>
      </c>
      <c r="M23" s="11" t="n">
        <f aca="false">IF(K23=0,"",L23/K23)</f>
        <v>0.453899613899614</v>
      </c>
      <c r="N23" s="11" t="n">
        <f aca="false">IF(F23=0,"",K23/F23-1)</f>
        <v>0.831165158371041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141.55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254.79</v>
      </c>
      <c r="K24" s="10" t="n">
        <f aca="false">IF(J24&lt;1000,CEILING(J24,10)-1,CEILING(J24,50)-1)</f>
        <v>259</v>
      </c>
      <c r="L24" s="9" t="n">
        <f aca="false">K24-F24</f>
        <v>117.45</v>
      </c>
      <c r="M24" s="11" t="n">
        <f aca="false">IF(K24=0,"",L24/K24)</f>
        <v>0.453474903474903</v>
      </c>
      <c r="N24" s="11" t="n">
        <f aca="false">IF(F24=0,"",K24/F24-1)</f>
        <v>0.829742140586365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17</v>
      </c>
      <c r="D25" s="4" t="s">
        <v>58</v>
      </c>
      <c r="E25" s="4" t="s">
        <v>59</v>
      </c>
      <c r="F25" s="5" t="n">
        <v>142.47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256.446</v>
      </c>
      <c r="K25" s="10" t="n">
        <f aca="false">IF(J25&lt;1000,CEILING(J25,10)-1,CEILING(J25,50)-1)</f>
        <v>259</v>
      </c>
      <c r="L25" s="9" t="n">
        <f aca="false">K25-F25</f>
        <v>116.53</v>
      </c>
      <c r="M25" s="11" t="n">
        <f aca="false">IF(K25=0,"",L25/K25)</f>
        <v>0.44992277992278</v>
      </c>
      <c r="N25" s="11" t="n">
        <f aca="false">IF(F25=0,"",K25/F25-1)</f>
        <v>0.817926581034604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17</v>
      </c>
      <c r="D26" s="4" t="s">
        <v>60</v>
      </c>
      <c r="E26" s="4" t="s">
        <v>61</v>
      </c>
      <c r="F26" s="5" t="n">
        <v>140.1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252.18</v>
      </c>
      <c r="K26" s="10" t="n">
        <f aca="false">IF(J26&lt;1000,CEILING(J26,10)-1,CEILING(J26,50)-1)</f>
        <v>259</v>
      </c>
      <c r="L26" s="9" t="n">
        <f aca="false">K26-F26</f>
        <v>118.9</v>
      </c>
      <c r="M26" s="11" t="n">
        <f aca="false">IF(K26=0,"",L26/K26)</f>
        <v>0.459073359073359</v>
      </c>
      <c r="N26" s="11" t="n">
        <f aca="false">IF(F26=0,"",K26/F26-1)</f>
        <v>0.848679514632406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17</v>
      </c>
      <c r="D27" s="4" t="s">
        <v>62</v>
      </c>
      <c r="E27" s="4" t="s">
        <v>63</v>
      </c>
      <c r="F27" s="5" t="n">
        <v>140.52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252.936</v>
      </c>
      <c r="K27" s="10" t="n">
        <f aca="false">IF(J27&lt;1000,CEILING(J27,10)-1,CEILING(J27,50)-1)</f>
        <v>259</v>
      </c>
      <c r="L27" s="9" t="n">
        <f aca="false">K27-F27</f>
        <v>118.48</v>
      </c>
      <c r="M27" s="11" t="n">
        <f aca="false">IF(K27=0,"",L27/K27)</f>
        <v>0.457451737451737</v>
      </c>
      <c r="N27" s="11" t="n">
        <f aca="false">IF(F27=0,"",K27/F27-1)</f>
        <v>0.843153999430686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17</v>
      </c>
      <c r="D28" s="4" t="s">
        <v>64</v>
      </c>
      <c r="E28" s="4" t="s">
        <v>65</v>
      </c>
      <c r="F28" s="5" t="n">
        <v>146.67</v>
      </c>
      <c r="G28" s="6" t="n">
        <f aca="false">INDEX(Reglas!$C$5:$C$8,MATCH(F28,Reglas!$A$5:$A$8,1))</f>
        <v>0.8</v>
      </c>
      <c r="H28" s="7"/>
      <c r="I28" s="8" t="n">
        <f aca="false">INDEX(Reglas!$D$5:$D$8,MATCH(F28,Reglas!$A$5:$A$8,1))</f>
        <v>0</v>
      </c>
      <c r="J28" s="9" t="n">
        <f aca="false">IF(H28="",MAX(F28*(1+G28),I28),F28*(1+H28))</f>
        <v>264.006</v>
      </c>
      <c r="K28" s="10" t="n">
        <f aca="false">IF(J28&lt;1000,CEILING(J28,10)-1,CEILING(J28,50)-1)</f>
        <v>269</v>
      </c>
      <c r="L28" s="9" t="n">
        <f aca="false">K28-F28</f>
        <v>122.33</v>
      </c>
      <c r="M28" s="11" t="n">
        <f aca="false">IF(K28=0,"",L28/K28)</f>
        <v>0.454758364312268</v>
      </c>
      <c r="N28" s="11" t="n">
        <f aca="false">IF(F28=0,"",K28/F28-1)</f>
        <v>0.834049226153951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17</v>
      </c>
      <c r="D29" s="4" t="s">
        <v>66</v>
      </c>
      <c r="E29" s="4" t="s">
        <v>67</v>
      </c>
      <c r="F29" s="5" t="n">
        <v>154.15</v>
      </c>
      <c r="G29" s="6" t="n">
        <f aca="false">INDEX(Reglas!$C$5:$C$8,MATCH(F29,Reglas!$A$5:$A$8,1))</f>
        <v>0.8</v>
      </c>
      <c r="H29" s="7"/>
      <c r="I29" s="8" t="n">
        <f aca="false">INDEX(Reglas!$D$5:$D$8,MATCH(F29,Reglas!$A$5:$A$8,1))</f>
        <v>0</v>
      </c>
      <c r="J29" s="9" t="n">
        <f aca="false">IF(H29="",MAX(F29*(1+G29),I29),F29*(1+H29))</f>
        <v>277.47</v>
      </c>
      <c r="K29" s="10" t="n">
        <f aca="false">IF(J29&lt;1000,CEILING(J29,10)-1,CEILING(J29,50)-1)</f>
        <v>279</v>
      </c>
      <c r="L29" s="9" t="n">
        <f aca="false">K29-F29</f>
        <v>124.85</v>
      </c>
      <c r="M29" s="11" t="n">
        <f aca="false">IF(K29=0,"",L29/K29)</f>
        <v>0.447491039426523</v>
      </c>
      <c r="N29" s="11" t="n">
        <f aca="false">IF(F29=0,"",K29/F29-1)</f>
        <v>0.809925397340253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17</v>
      </c>
      <c r="D30" s="4" t="s">
        <v>68</v>
      </c>
      <c r="E30" s="4" t="s">
        <v>69</v>
      </c>
      <c r="F30" s="5" t="n">
        <v>151.2</v>
      </c>
      <c r="G30" s="6" t="n">
        <f aca="false">INDEX(Reglas!$C$5:$C$8,MATCH(F30,Reglas!$A$5:$A$8,1))</f>
        <v>0.8</v>
      </c>
      <c r="H30" s="7"/>
      <c r="I30" s="8" t="n">
        <f aca="false">INDEX(Reglas!$D$5:$D$8,MATCH(F30,Reglas!$A$5:$A$8,1))</f>
        <v>0</v>
      </c>
      <c r="J30" s="9" t="n">
        <f aca="false">IF(H30="",MAX(F30*(1+G30),I30),F30*(1+H30))</f>
        <v>272.16</v>
      </c>
      <c r="K30" s="10" t="n">
        <f aca="false">IF(J30&lt;1000,CEILING(J30,10)-1,CEILING(J30,50)-1)</f>
        <v>279</v>
      </c>
      <c r="L30" s="9" t="n">
        <f aca="false">K30-F30</f>
        <v>127.8</v>
      </c>
      <c r="M30" s="11" t="n">
        <f aca="false">IF(K30=0,"",L30/K30)</f>
        <v>0.458064516129032</v>
      </c>
      <c r="N30" s="11" t="n">
        <f aca="false">IF(F30=0,"",K30/F30-1)</f>
        <v>0.845238095238095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17</v>
      </c>
      <c r="D31" s="4" t="s">
        <v>70</v>
      </c>
      <c r="E31" s="4" t="s">
        <v>71</v>
      </c>
      <c r="F31" s="5" t="n">
        <v>152.42</v>
      </c>
      <c r="G31" s="6" t="n">
        <f aca="false">INDEX(Reglas!$C$5:$C$8,MATCH(F31,Reglas!$A$5:$A$8,1))</f>
        <v>0.8</v>
      </c>
      <c r="H31" s="7"/>
      <c r="I31" s="8" t="n">
        <f aca="false">INDEX(Reglas!$D$5:$D$8,MATCH(F31,Reglas!$A$5:$A$8,1))</f>
        <v>0</v>
      </c>
      <c r="J31" s="9" t="n">
        <f aca="false">IF(H31="",MAX(F31*(1+G31),I31),F31*(1+H31))</f>
        <v>274.356</v>
      </c>
      <c r="K31" s="10" t="n">
        <f aca="false">IF(J31&lt;1000,CEILING(J31,10)-1,CEILING(J31,50)-1)</f>
        <v>279</v>
      </c>
      <c r="L31" s="9" t="n">
        <f aca="false">K31-F31</f>
        <v>126.58</v>
      </c>
      <c r="M31" s="11" t="n">
        <f aca="false">IF(K31=0,"",L31/K31)</f>
        <v>0.453691756272402</v>
      </c>
      <c r="N31" s="11" t="n">
        <f aca="false">IF(F31=0,"",K31/F31-1)</f>
        <v>0.830468442461619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17</v>
      </c>
      <c r="D32" s="4" t="s">
        <v>72</v>
      </c>
      <c r="E32" s="4" t="s">
        <v>73</v>
      </c>
      <c r="F32" s="5" t="n">
        <v>150.04</v>
      </c>
      <c r="G32" s="6" t="n">
        <f aca="false">INDEX(Reglas!$C$5:$C$8,MATCH(F32,Reglas!$A$5:$A$8,1))</f>
        <v>0.8</v>
      </c>
      <c r="H32" s="7"/>
      <c r="I32" s="8" t="n">
        <f aca="false">INDEX(Reglas!$D$5:$D$8,MATCH(F32,Reglas!$A$5:$A$8,1))</f>
        <v>0</v>
      </c>
      <c r="J32" s="9" t="n">
        <f aca="false">IF(H32="",MAX(F32*(1+G32),I32),F32*(1+H32))</f>
        <v>270.072</v>
      </c>
      <c r="K32" s="10" t="n">
        <f aca="false">IF(J32&lt;1000,CEILING(J32,10)-1,CEILING(J32,50)-1)</f>
        <v>279</v>
      </c>
      <c r="L32" s="9" t="n">
        <f aca="false">K32-F32</f>
        <v>128.96</v>
      </c>
      <c r="M32" s="11" t="n">
        <f aca="false">IF(K32=0,"",L32/K32)</f>
        <v>0.462222222222222</v>
      </c>
      <c r="N32" s="11" t="n">
        <f aca="false">IF(F32=0,"",K32/F32-1)</f>
        <v>0.859504132231405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17</v>
      </c>
      <c r="D33" s="4" t="s">
        <v>74</v>
      </c>
      <c r="E33" s="4" t="s">
        <v>75</v>
      </c>
      <c r="F33" s="5" t="n">
        <v>160.8</v>
      </c>
      <c r="G33" s="6" t="n">
        <f aca="false">INDEX(Reglas!$C$5:$C$8,MATCH(F33,Reglas!$A$5:$A$8,1))</f>
        <v>0.8</v>
      </c>
      <c r="H33" s="7"/>
      <c r="I33" s="8" t="n">
        <f aca="false">INDEX(Reglas!$D$5:$D$8,MATCH(F33,Reglas!$A$5:$A$8,1))</f>
        <v>0</v>
      </c>
      <c r="J33" s="9" t="n">
        <f aca="false">IF(H33="",MAX(F33*(1+G33),I33),F33*(1+H33))</f>
        <v>289.44</v>
      </c>
      <c r="K33" s="10" t="n">
        <f aca="false">IF(J33&lt;1000,CEILING(J33,10)-1,CEILING(J33,50)-1)</f>
        <v>289</v>
      </c>
      <c r="L33" s="9" t="n">
        <f aca="false">K33-F33</f>
        <v>128.2</v>
      </c>
      <c r="M33" s="11" t="n">
        <f aca="false">IF(K33=0,"",L33/K33)</f>
        <v>0.443598615916955</v>
      </c>
      <c r="N33" s="11" t="n">
        <f aca="false">IF(F33=0,"",K33/F33-1)</f>
        <v>0.79726368159204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17</v>
      </c>
      <c r="D34" s="4" t="s">
        <v>76</v>
      </c>
      <c r="E34" s="4" t="s">
        <v>77</v>
      </c>
      <c r="F34" s="5" t="n">
        <v>159.68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287.424</v>
      </c>
      <c r="K34" s="10" t="n">
        <f aca="false">IF(J34&lt;1000,CEILING(J34,10)-1,CEILING(J34,50)-1)</f>
        <v>289</v>
      </c>
      <c r="L34" s="9" t="n">
        <f aca="false">K34-F34</f>
        <v>129.32</v>
      </c>
      <c r="M34" s="11" t="n">
        <f aca="false">IF(K34=0,"",L34/K34)</f>
        <v>0.447474048442907</v>
      </c>
      <c r="N34" s="11" t="n">
        <f aca="false">IF(F34=0,"",K34/F34-1)</f>
        <v>0.809869739478958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17</v>
      </c>
      <c r="D35" s="4" t="s">
        <v>78</v>
      </c>
      <c r="E35" s="4" t="s">
        <v>79</v>
      </c>
      <c r="F35" s="5" t="n">
        <v>158.83</v>
      </c>
      <c r="G35" s="6" t="n">
        <f aca="false">INDEX(Reglas!$C$5:$C$8,MATCH(F35,Reglas!$A$5:$A$8,1))</f>
        <v>0.8</v>
      </c>
      <c r="H35" s="7"/>
      <c r="I35" s="8" t="n">
        <f aca="false">INDEX(Reglas!$D$5:$D$8,MATCH(F35,Reglas!$A$5:$A$8,1))</f>
        <v>0</v>
      </c>
      <c r="J35" s="9" t="n">
        <f aca="false">IF(H35="",MAX(F35*(1+G35),I35),F35*(1+H35))</f>
        <v>285.894</v>
      </c>
      <c r="K35" s="10" t="n">
        <f aca="false">IF(J35&lt;1000,CEILING(J35,10)-1,CEILING(J35,50)-1)</f>
        <v>289</v>
      </c>
      <c r="L35" s="9" t="n">
        <f aca="false">K35-F35</f>
        <v>130.17</v>
      </c>
      <c r="M35" s="11" t="n">
        <f aca="false">IF(K35=0,"",L35/K35)</f>
        <v>0.450415224913495</v>
      </c>
      <c r="N35" s="11" t="n">
        <f aca="false">IF(F35=0,"",K35/F35-1)</f>
        <v>0.819555499590757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17</v>
      </c>
      <c r="D36" s="4" t="s">
        <v>80</v>
      </c>
      <c r="E36" s="4" t="s">
        <v>81</v>
      </c>
      <c r="F36" s="5" t="n">
        <v>159.71</v>
      </c>
      <c r="G36" s="6" t="n">
        <f aca="false">INDEX(Reglas!$C$5:$C$8,MATCH(F36,Reglas!$A$5:$A$8,1))</f>
        <v>0.8</v>
      </c>
      <c r="H36" s="7"/>
      <c r="I36" s="8" t="n">
        <f aca="false">INDEX(Reglas!$D$5:$D$8,MATCH(F36,Reglas!$A$5:$A$8,1))</f>
        <v>0</v>
      </c>
      <c r="J36" s="9" t="n">
        <f aca="false">IF(H36="",MAX(F36*(1+G36),I36),F36*(1+H36))</f>
        <v>287.478</v>
      </c>
      <c r="K36" s="10" t="n">
        <f aca="false">IF(J36&lt;1000,CEILING(J36,10)-1,CEILING(J36,50)-1)</f>
        <v>289</v>
      </c>
      <c r="L36" s="9" t="n">
        <f aca="false">K36-F36</f>
        <v>129.29</v>
      </c>
      <c r="M36" s="11" t="n">
        <f aca="false">IF(K36=0,"",L36/K36)</f>
        <v>0.447370242214533</v>
      </c>
      <c r="N36" s="11" t="n">
        <f aca="false">IF(F36=0,"",K36/F36-1)</f>
        <v>0.809529772713042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17</v>
      </c>
      <c r="D37" s="4" t="s">
        <v>82</v>
      </c>
      <c r="E37" s="4" t="s">
        <v>83</v>
      </c>
      <c r="F37" s="5" t="n">
        <v>165.89</v>
      </c>
      <c r="G37" s="6" t="n">
        <f aca="false">INDEX(Reglas!$C$5:$C$8,MATCH(F37,Reglas!$A$5:$A$8,1))</f>
        <v>0.8</v>
      </c>
      <c r="H37" s="7"/>
      <c r="I37" s="8" t="n">
        <f aca="false">INDEX(Reglas!$D$5:$D$8,MATCH(F37,Reglas!$A$5:$A$8,1))</f>
        <v>0</v>
      </c>
      <c r="J37" s="9" t="n">
        <f aca="false">IF(H37="",MAX(F37*(1+G37),I37),F37*(1+H37))</f>
        <v>298.602</v>
      </c>
      <c r="K37" s="10" t="n">
        <f aca="false">IF(J37&lt;1000,CEILING(J37,10)-1,CEILING(J37,50)-1)</f>
        <v>299</v>
      </c>
      <c r="L37" s="9" t="n">
        <f aca="false">K37-F37</f>
        <v>133.11</v>
      </c>
      <c r="M37" s="11" t="n">
        <f aca="false">IF(K37=0,"",L37/K37)</f>
        <v>0.445183946488294</v>
      </c>
      <c r="N37" s="11" t="n">
        <f aca="false">IF(F37=0,"",K37/F37-1)</f>
        <v>0.802399180179637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17</v>
      </c>
      <c r="D38" s="4" t="s">
        <v>84</v>
      </c>
      <c r="E38" s="4" t="s">
        <v>85</v>
      </c>
      <c r="F38" s="5" t="n">
        <v>171.53</v>
      </c>
      <c r="G38" s="6" t="n">
        <f aca="false">INDEX(Reglas!$C$5:$C$8,MATCH(F38,Reglas!$A$5:$A$8,1))</f>
        <v>0.8</v>
      </c>
      <c r="H38" s="7"/>
      <c r="I38" s="8" t="n">
        <f aca="false">INDEX(Reglas!$D$5:$D$8,MATCH(F38,Reglas!$A$5:$A$8,1))</f>
        <v>0</v>
      </c>
      <c r="J38" s="9" t="n">
        <f aca="false">IF(H38="",MAX(F38*(1+G38),I38),F38*(1+H38))</f>
        <v>308.754</v>
      </c>
      <c r="K38" s="10" t="n">
        <f aca="false">IF(J38&lt;1000,CEILING(J38,10)-1,CEILING(J38,50)-1)</f>
        <v>309</v>
      </c>
      <c r="L38" s="9" t="n">
        <f aca="false">K38-F38</f>
        <v>137.47</v>
      </c>
      <c r="M38" s="11" t="n">
        <f aca="false">IF(K38=0,"",L38/K38)</f>
        <v>0.444886731391586</v>
      </c>
      <c r="N38" s="11" t="n">
        <f aca="false">IF(F38=0,"",K38/F38-1)</f>
        <v>0.801434151460386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17</v>
      </c>
      <c r="D39" s="4" t="s">
        <v>86</v>
      </c>
      <c r="E39" s="4" t="s">
        <v>87</v>
      </c>
      <c r="F39" s="5" t="n">
        <v>174.36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313.848</v>
      </c>
      <c r="K39" s="10" t="n">
        <f aca="false">IF(J39&lt;1000,CEILING(J39,10)-1,CEILING(J39,50)-1)</f>
        <v>319</v>
      </c>
      <c r="L39" s="9" t="n">
        <f aca="false">K39-F39</f>
        <v>144.64</v>
      </c>
      <c r="M39" s="11" t="n">
        <f aca="false">IF(K39=0,"",L39/K39)</f>
        <v>0.453416927899686</v>
      </c>
      <c r="N39" s="11" t="n">
        <f aca="false">IF(F39=0,"",K39/F39-1)</f>
        <v>0.829548061481991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17</v>
      </c>
      <c r="D40" s="4" t="s">
        <v>88</v>
      </c>
      <c r="E40" s="4" t="s">
        <v>89</v>
      </c>
      <c r="F40" s="5" t="n">
        <v>181.49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326.682</v>
      </c>
      <c r="K40" s="10" t="n">
        <f aca="false">IF(J40&lt;1000,CEILING(J40,10)-1,CEILING(J40,50)-1)</f>
        <v>329</v>
      </c>
      <c r="L40" s="9" t="n">
        <f aca="false">K40-F40</f>
        <v>147.51</v>
      </c>
      <c r="M40" s="11" t="n">
        <f aca="false">IF(K40=0,"",L40/K40)</f>
        <v>0.448358662613982</v>
      </c>
      <c r="N40" s="11" t="n">
        <f aca="false">IF(F40=0,"",K40/F40-1)</f>
        <v>0.81277205355667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17</v>
      </c>
      <c r="D41" s="4" t="s">
        <v>90</v>
      </c>
      <c r="E41" s="4" t="s">
        <v>91</v>
      </c>
      <c r="F41" s="5" t="n">
        <v>193.67</v>
      </c>
      <c r="G41" s="6" t="n">
        <f aca="false">INDEX(Reglas!$C$5:$C$8,MATCH(F41,Reglas!$A$5:$A$8,1))</f>
        <v>0.8</v>
      </c>
      <c r="H41" s="7"/>
      <c r="I41" s="8" t="n">
        <f aca="false">INDEX(Reglas!$D$5:$D$8,MATCH(F41,Reglas!$A$5:$A$8,1))</f>
        <v>0</v>
      </c>
      <c r="J41" s="9" t="n">
        <f aca="false">IF(H41="",MAX(F41*(1+G41),I41),F41*(1+H41))</f>
        <v>348.606</v>
      </c>
      <c r="K41" s="10" t="n">
        <f aca="false">IF(J41&lt;1000,CEILING(J41,10)-1,CEILING(J41,50)-1)</f>
        <v>349</v>
      </c>
      <c r="L41" s="9" t="n">
        <f aca="false">K41-F41</f>
        <v>155.33</v>
      </c>
      <c r="M41" s="11" t="n">
        <f aca="false">IF(K41=0,"",L41/K41)</f>
        <v>0.445071633237822</v>
      </c>
      <c r="N41" s="11" t="n">
        <f aca="false">IF(F41=0,"",K41/F41-1)</f>
        <v>0.802034388392627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17</v>
      </c>
      <c r="D42" s="4" t="s">
        <v>92</v>
      </c>
      <c r="E42" s="4" t="s">
        <v>93</v>
      </c>
      <c r="F42" s="5" t="n">
        <v>192.82</v>
      </c>
      <c r="G42" s="6" t="n">
        <f aca="false">INDEX(Reglas!$C$5:$C$8,MATCH(F42,Reglas!$A$5:$A$8,1))</f>
        <v>0.8</v>
      </c>
      <c r="H42" s="7"/>
      <c r="I42" s="8" t="n">
        <f aca="false">INDEX(Reglas!$D$5:$D$8,MATCH(F42,Reglas!$A$5:$A$8,1))</f>
        <v>0</v>
      </c>
      <c r="J42" s="9" t="n">
        <f aca="false">IF(H42="",MAX(F42*(1+G42),I42),F42*(1+H42))</f>
        <v>347.076</v>
      </c>
      <c r="K42" s="10" t="n">
        <f aca="false">IF(J42&lt;1000,CEILING(J42,10)-1,CEILING(J42,50)-1)</f>
        <v>349</v>
      </c>
      <c r="L42" s="9" t="n">
        <f aca="false">K42-F42</f>
        <v>156.18</v>
      </c>
      <c r="M42" s="11" t="n">
        <f aca="false">IF(K42=0,"",L42/K42)</f>
        <v>0.447507163323782</v>
      </c>
      <c r="N42" s="11" t="n">
        <f aca="false">IF(F42=0,"",K42/F42-1)</f>
        <v>0.809978218027176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17</v>
      </c>
      <c r="D43" s="4" t="s">
        <v>94</v>
      </c>
      <c r="E43" s="4" t="s">
        <v>95</v>
      </c>
      <c r="F43" s="5" t="n">
        <v>190.2</v>
      </c>
      <c r="G43" s="6" t="n">
        <f aca="false">INDEX(Reglas!$C$5:$C$8,MATCH(F43,Reglas!$A$5:$A$8,1))</f>
        <v>0.8</v>
      </c>
      <c r="H43" s="7"/>
      <c r="I43" s="8" t="n">
        <f aca="false">INDEX(Reglas!$D$5:$D$8,MATCH(F43,Reglas!$A$5:$A$8,1))</f>
        <v>0</v>
      </c>
      <c r="J43" s="9" t="n">
        <f aca="false">IF(H43="",MAX(F43*(1+G43),I43),F43*(1+H43))</f>
        <v>342.36</v>
      </c>
      <c r="K43" s="10" t="n">
        <f aca="false">IF(J43&lt;1000,CEILING(J43,10)-1,CEILING(J43,50)-1)</f>
        <v>349</v>
      </c>
      <c r="L43" s="9" t="n">
        <f aca="false">K43-F43</f>
        <v>158.8</v>
      </c>
      <c r="M43" s="11" t="n">
        <f aca="false">IF(K43=0,"",L43/K43)</f>
        <v>0.455014326647565</v>
      </c>
      <c r="N43" s="11" t="n">
        <f aca="false">IF(F43=0,"",K43/F43-1)</f>
        <v>0.83491062039958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17</v>
      </c>
      <c r="D44" s="4" t="s">
        <v>96</v>
      </c>
      <c r="E44" s="4" t="s">
        <v>97</v>
      </c>
      <c r="F44" s="5" t="n">
        <v>202.07</v>
      </c>
      <c r="G44" s="6" t="n">
        <f aca="false">INDEX(Reglas!$C$5:$C$8,MATCH(F44,Reglas!$A$5:$A$8,1))</f>
        <v>0.8</v>
      </c>
      <c r="H44" s="7"/>
      <c r="I44" s="8" t="n">
        <f aca="false">INDEX(Reglas!$D$5:$D$8,MATCH(F44,Reglas!$A$5:$A$8,1))</f>
        <v>0</v>
      </c>
      <c r="J44" s="9" t="n">
        <f aca="false">IF(H44="",MAX(F44*(1+G44),I44),F44*(1+H44))</f>
        <v>363.726</v>
      </c>
      <c r="K44" s="10" t="n">
        <f aca="false">IF(J44&lt;1000,CEILING(J44,10)-1,CEILING(J44,50)-1)</f>
        <v>369</v>
      </c>
      <c r="L44" s="9" t="n">
        <f aca="false">K44-F44</f>
        <v>166.93</v>
      </c>
      <c r="M44" s="11" t="n">
        <f aca="false">IF(K44=0,"",L44/K44)</f>
        <v>0.452384823848239</v>
      </c>
      <c r="N44" s="11" t="n">
        <f aca="false">IF(F44=0,"",K44/F44-1)</f>
        <v>0.826099866382937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17</v>
      </c>
      <c r="D45" s="4" t="s">
        <v>98</v>
      </c>
      <c r="E45" s="4" t="s">
        <v>99</v>
      </c>
      <c r="F45" s="5" t="n">
        <v>214.17</v>
      </c>
      <c r="G45" s="6" t="n">
        <f aca="false">INDEX(Reglas!$C$5:$C$8,MATCH(F45,Reglas!$A$5:$A$8,1))</f>
        <v>0.8</v>
      </c>
      <c r="H45" s="7"/>
      <c r="I45" s="8" t="n">
        <f aca="false">INDEX(Reglas!$D$5:$D$8,MATCH(F45,Reglas!$A$5:$A$8,1))</f>
        <v>0</v>
      </c>
      <c r="J45" s="9" t="n">
        <f aca="false">IF(H45="",MAX(F45*(1+G45),I45),F45*(1+H45))</f>
        <v>385.506</v>
      </c>
      <c r="K45" s="10" t="n">
        <f aca="false">IF(J45&lt;1000,CEILING(J45,10)-1,CEILING(J45,50)-1)</f>
        <v>389</v>
      </c>
      <c r="L45" s="9" t="n">
        <f aca="false">K45-F45</f>
        <v>174.83</v>
      </c>
      <c r="M45" s="11" t="n">
        <f aca="false">IF(K45=0,"",L45/K45)</f>
        <v>0.449434447300771</v>
      </c>
      <c r="N45" s="11" t="n">
        <f aca="false">IF(F45=0,"",K45/F45-1)</f>
        <v>0.816314142970538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17</v>
      </c>
      <c r="D46" s="4" t="s">
        <v>100</v>
      </c>
      <c r="E46" s="4" t="s">
        <v>101</v>
      </c>
      <c r="F46" s="5" t="n">
        <v>216.46</v>
      </c>
      <c r="G46" s="6" t="n">
        <f aca="false">INDEX(Reglas!$C$5:$C$8,MATCH(F46,Reglas!$A$5:$A$8,1))</f>
        <v>0.8</v>
      </c>
      <c r="H46" s="7"/>
      <c r="I46" s="8" t="n">
        <f aca="false">INDEX(Reglas!$D$5:$D$8,MATCH(F46,Reglas!$A$5:$A$8,1))</f>
        <v>0</v>
      </c>
      <c r="J46" s="9" t="n">
        <f aca="false">IF(H46="",MAX(F46*(1+G46),I46),F46*(1+H46))</f>
        <v>389.628</v>
      </c>
      <c r="K46" s="10" t="n">
        <f aca="false">IF(J46&lt;1000,CEILING(J46,10)-1,CEILING(J46,50)-1)</f>
        <v>389</v>
      </c>
      <c r="L46" s="9" t="n">
        <f aca="false">K46-F46</f>
        <v>172.54</v>
      </c>
      <c r="M46" s="11" t="n">
        <f aca="false">IF(K46=0,"",L46/K46)</f>
        <v>0.443547557840617</v>
      </c>
      <c r="N46" s="11" t="n">
        <f aca="false">IF(F46=0,"",K46/F46-1)</f>
        <v>0.797098771135545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17</v>
      </c>
      <c r="D47" s="4" t="s">
        <v>102</v>
      </c>
      <c r="E47" s="4" t="s">
        <v>103</v>
      </c>
      <c r="F47" s="5" t="n">
        <v>217.62</v>
      </c>
      <c r="G47" s="6" t="n">
        <f aca="false">INDEX(Reglas!$C$5:$C$8,MATCH(F47,Reglas!$A$5:$A$8,1))</f>
        <v>0.8</v>
      </c>
      <c r="H47" s="7"/>
      <c r="I47" s="8" t="n">
        <f aca="false">INDEX(Reglas!$D$5:$D$8,MATCH(F47,Reglas!$A$5:$A$8,1))</f>
        <v>0</v>
      </c>
      <c r="J47" s="9" t="n">
        <f aca="false">IF(H47="",MAX(F47*(1+G47),I47),F47*(1+H47))</f>
        <v>391.716</v>
      </c>
      <c r="K47" s="10" t="n">
        <f aca="false">IF(J47&lt;1000,CEILING(J47,10)-1,CEILING(J47,50)-1)</f>
        <v>399</v>
      </c>
      <c r="L47" s="9" t="n">
        <f aca="false">K47-F47</f>
        <v>181.38</v>
      </c>
      <c r="M47" s="11" t="n">
        <f aca="false">IF(K47=0,"",L47/K47)</f>
        <v>0.454586466165414</v>
      </c>
      <c r="N47" s="11" t="n">
        <f aca="false">IF(F47=0,"",K47/F47-1)</f>
        <v>0.833471188309898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17</v>
      </c>
      <c r="D48" s="4" t="s">
        <v>104</v>
      </c>
      <c r="E48" s="4" t="s">
        <v>105</v>
      </c>
      <c r="F48" s="5" t="n">
        <v>226.69</v>
      </c>
      <c r="G48" s="6" t="n">
        <f aca="false">INDEX(Reglas!$C$5:$C$8,MATCH(F48,Reglas!$A$5:$A$8,1))</f>
        <v>0.8</v>
      </c>
      <c r="H48" s="7"/>
      <c r="I48" s="8" t="n">
        <f aca="false">INDEX(Reglas!$D$5:$D$8,MATCH(F48,Reglas!$A$5:$A$8,1))</f>
        <v>0</v>
      </c>
      <c r="J48" s="9" t="n">
        <f aca="false">IF(H48="",MAX(F48*(1+G48),I48),F48*(1+H48))</f>
        <v>408.042</v>
      </c>
      <c r="K48" s="10" t="n">
        <f aca="false">IF(J48&lt;1000,CEILING(J48,10)-1,CEILING(J48,50)-1)</f>
        <v>409</v>
      </c>
      <c r="L48" s="9" t="n">
        <f aca="false">K48-F48</f>
        <v>182.31</v>
      </c>
      <c r="M48" s="11" t="n">
        <f aca="false">IF(K48=0,"",L48/K48)</f>
        <v>0.445745721271394</v>
      </c>
      <c r="N48" s="11" t="n">
        <f aca="false">IF(F48=0,"",K48/F48-1)</f>
        <v>0.804226035555163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17</v>
      </c>
      <c r="D49" s="4" t="s">
        <v>106</v>
      </c>
      <c r="E49" s="4" t="s">
        <v>107</v>
      </c>
      <c r="F49" s="5" t="n">
        <v>229.98</v>
      </c>
      <c r="G49" s="6" t="n">
        <f aca="false">INDEX(Reglas!$C$5:$C$8,MATCH(F49,Reglas!$A$5:$A$8,1))</f>
        <v>0.8</v>
      </c>
      <c r="H49" s="7"/>
      <c r="I49" s="8" t="n">
        <f aca="false">INDEX(Reglas!$D$5:$D$8,MATCH(F49,Reglas!$A$5:$A$8,1))</f>
        <v>0</v>
      </c>
      <c r="J49" s="9" t="n">
        <f aca="false">IF(H49="",MAX(F49*(1+G49),I49),F49*(1+H49))</f>
        <v>413.964</v>
      </c>
      <c r="K49" s="10" t="n">
        <f aca="false">IF(J49&lt;1000,CEILING(J49,10)-1,CEILING(J49,50)-1)</f>
        <v>419</v>
      </c>
      <c r="L49" s="9" t="n">
        <f aca="false">K49-F49</f>
        <v>189.02</v>
      </c>
      <c r="M49" s="11" t="n">
        <f aca="false">IF(K49=0,"",L49/K49)</f>
        <v>0.451121718377088</v>
      </c>
      <c r="N49" s="11" t="n">
        <f aca="false">IF(F49=0,"",K49/F49-1)</f>
        <v>0.821897556309244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17</v>
      </c>
      <c r="D50" s="4" t="s">
        <v>108</v>
      </c>
      <c r="E50" s="4" t="s">
        <v>109</v>
      </c>
      <c r="F50" s="5" t="n">
        <v>230.23</v>
      </c>
      <c r="G50" s="6" t="n">
        <f aca="false">INDEX(Reglas!$C$5:$C$8,MATCH(F50,Reglas!$A$5:$A$8,1))</f>
        <v>0.8</v>
      </c>
      <c r="H50" s="7"/>
      <c r="I50" s="8" t="n">
        <f aca="false">INDEX(Reglas!$D$5:$D$8,MATCH(F50,Reglas!$A$5:$A$8,1))</f>
        <v>0</v>
      </c>
      <c r="J50" s="9" t="n">
        <f aca="false">IF(H50="",MAX(F50*(1+G50),I50),F50*(1+H50))</f>
        <v>414.414</v>
      </c>
      <c r="K50" s="10" t="n">
        <f aca="false">IF(J50&lt;1000,CEILING(J50,10)-1,CEILING(J50,50)-1)</f>
        <v>419</v>
      </c>
      <c r="L50" s="9" t="n">
        <f aca="false">K50-F50</f>
        <v>188.77</v>
      </c>
      <c r="M50" s="11" t="n">
        <f aca="false">IF(K50=0,"",L50/K50)</f>
        <v>0.450525059665871</v>
      </c>
      <c r="N50" s="11" t="n">
        <f aca="false">IF(F50=0,"",K50/F50-1)</f>
        <v>0.819919211223559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17</v>
      </c>
      <c r="D51" s="4" t="s">
        <v>110</v>
      </c>
      <c r="E51" s="4" t="s">
        <v>111</v>
      </c>
      <c r="F51" s="5" t="n">
        <v>237.59</v>
      </c>
      <c r="G51" s="6" t="n">
        <f aca="false">INDEX(Reglas!$C$5:$C$8,MATCH(F51,Reglas!$A$5:$A$8,1))</f>
        <v>0.8</v>
      </c>
      <c r="H51" s="7"/>
      <c r="I51" s="8" t="n">
        <f aca="false">INDEX(Reglas!$D$5:$D$8,MATCH(F51,Reglas!$A$5:$A$8,1))</f>
        <v>0</v>
      </c>
      <c r="J51" s="9" t="n">
        <f aca="false">IF(H51="",MAX(F51*(1+G51),I51),F51*(1+H51))</f>
        <v>427.662</v>
      </c>
      <c r="K51" s="10" t="n">
        <f aca="false">IF(J51&lt;1000,CEILING(J51,10)-1,CEILING(J51,50)-1)</f>
        <v>429</v>
      </c>
      <c r="L51" s="9" t="n">
        <f aca="false">K51-F51</f>
        <v>191.41</v>
      </c>
      <c r="M51" s="11" t="n">
        <f aca="false">IF(K51=0,"",L51/K51)</f>
        <v>0.446177156177156</v>
      </c>
      <c r="N51" s="11" t="n">
        <f aca="false">IF(F51=0,"",K51/F51-1)</f>
        <v>0.805631550149417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17</v>
      </c>
      <c r="D52" s="4" t="s">
        <v>112</v>
      </c>
      <c r="E52" s="4" t="s">
        <v>113</v>
      </c>
      <c r="F52" s="5" t="n">
        <v>246.47</v>
      </c>
      <c r="G52" s="6" t="n">
        <f aca="false">INDEX(Reglas!$C$5:$C$8,MATCH(F52,Reglas!$A$5:$A$8,1))</f>
        <v>0.8</v>
      </c>
      <c r="H52" s="7"/>
      <c r="I52" s="8" t="n">
        <f aca="false">INDEX(Reglas!$D$5:$D$8,MATCH(F52,Reglas!$A$5:$A$8,1))</f>
        <v>0</v>
      </c>
      <c r="J52" s="9" t="n">
        <f aca="false">IF(H52="",MAX(F52*(1+G52),I52),F52*(1+H52))</f>
        <v>443.646</v>
      </c>
      <c r="K52" s="10" t="n">
        <f aca="false">IF(J52&lt;1000,CEILING(J52,10)-1,CEILING(J52,50)-1)</f>
        <v>449</v>
      </c>
      <c r="L52" s="9" t="n">
        <f aca="false">K52-F52</f>
        <v>202.53</v>
      </c>
      <c r="M52" s="11" t="n">
        <f aca="false">IF(K52=0,"",L52/K52)</f>
        <v>0.451069042316258</v>
      </c>
      <c r="N52" s="11" t="n">
        <f aca="false">IF(F52=0,"",K52/F52-1)</f>
        <v>0.821722724875238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17</v>
      </c>
      <c r="D53" s="4" t="s">
        <v>114</v>
      </c>
      <c r="E53" s="4" t="s">
        <v>115</v>
      </c>
      <c r="F53" s="5" t="n">
        <v>254.22</v>
      </c>
      <c r="G53" s="6" t="n">
        <f aca="false">INDEX(Reglas!$C$5:$C$8,MATCH(F53,Reglas!$A$5:$A$8,1))</f>
        <v>0.8</v>
      </c>
      <c r="H53" s="7"/>
      <c r="I53" s="8" t="n">
        <f aca="false">INDEX(Reglas!$D$5:$D$8,MATCH(F53,Reglas!$A$5:$A$8,1))</f>
        <v>0</v>
      </c>
      <c r="J53" s="9" t="n">
        <f aca="false">IF(H53="",MAX(F53*(1+G53),I53),F53*(1+H53))</f>
        <v>457.596</v>
      </c>
      <c r="K53" s="10" t="n">
        <f aca="false">IF(J53&lt;1000,CEILING(J53,10)-1,CEILING(J53,50)-1)</f>
        <v>459</v>
      </c>
      <c r="L53" s="9" t="n">
        <f aca="false">K53-F53</f>
        <v>204.78</v>
      </c>
      <c r="M53" s="11" t="n">
        <f aca="false">IF(K53=0,"",L53/K53)</f>
        <v>0.446143790849673</v>
      </c>
      <c r="N53" s="11" t="n">
        <f aca="false">IF(F53=0,"",K53/F53-1)</f>
        <v>0.805522775548737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17</v>
      </c>
      <c r="D54" s="4" t="s">
        <v>116</v>
      </c>
      <c r="E54" s="4" t="s">
        <v>117</v>
      </c>
      <c r="F54" s="5" t="n">
        <v>260.5</v>
      </c>
      <c r="G54" s="6" t="n">
        <f aca="false">INDEX(Reglas!$C$5:$C$8,MATCH(F54,Reglas!$A$5:$A$8,1))</f>
        <v>0.8</v>
      </c>
      <c r="H54" s="7"/>
      <c r="I54" s="8" t="n">
        <f aca="false">INDEX(Reglas!$D$5:$D$8,MATCH(F54,Reglas!$A$5:$A$8,1))</f>
        <v>0</v>
      </c>
      <c r="J54" s="9" t="n">
        <f aca="false">IF(H54="",MAX(F54*(1+G54),I54),F54*(1+H54))</f>
        <v>468.9</v>
      </c>
      <c r="K54" s="10" t="n">
        <f aca="false">IF(J54&lt;1000,CEILING(J54,10)-1,CEILING(J54,50)-1)</f>
        <v>469</v>
      </c>
      <c r="L54" s="9" t="n">
        <f aca="false">K54-F54</f>
        <v>208.5</v>
      </c>
      <c r="M54" s="11" t="n">
        <f aca="false">IF(K54=0,"",L54/K54)</f>
        <v>0.44456289978678</v>
      </c>
      <c r="N54" s="11" t="n">
        <f aca="false">IF(F54=0,"",K54/F54-1)</f>
        <v>0.800383877159309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17</v>
      </c>
      <c r="D55" s="4" t="s">
        <v>118</v>
      </c>
      <c r="E55" s="4" t="s">
        <v>119</v>
      </c>
      <c r="F55" s="5" t="n">
        <v>259.22</v>
      </c>
      <c r="G55" s="6" t="n">
        <f aca="false">INDEX(Reglas!$C$5:$C$8,MATCH(F55,Reglas!$A$5:$A$8,1))</f>
        <v>0.8</v>
      </c>
      <c r="H55" s="7"/>
      <c r="I55" s="8" t="n">
        <f aca="false">INDEX(Reglas!$D$5:$D$8,MATCH(F55,Reglas!$A$5:$A$8,1))</f>
        <v>0</v>
      </c>
      <c r="J55" s="9" t="n">
        <f aca="false">IF(H55="",MAX(F55*(1+G55),I55),F55*(1+H55))</f>
        <v>466.596</v>
      </c>
      <c r="K55" s="10" t="n">
        <f aca="false">IF(J55&lt;1000,CEILING(J55,10)-1,CEILING(J55,50)-1)</f>
        <v>469</v>
      </c>
      <c r="L55" s="9" t="n">
        <f aca="false">K55-F55</f>
        <v>209.78</v>
      </c>
      <c r="M55" s="11" t="n">
        <f aca="false">IF(K55=0,"",L55/K55)</f>
        <v>0.4472921108742</v>
      </c>
      <c r="N55" s="11" t="n">
        <f aca="false">IF(F55=0,"",K55/F55-1)</f>
        <v>0.809273975773474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17</v>
      </c>
      <c r="D56" s="4" t="s">
        <v>120</v>
      </c>
      <c r="E56" s="4" t="s">
        <v>121</v>
      </c>
      <c r="F56" s="5" t="n">
        <v>267.94</v>
      </c>
      <c r="G56" s="6" t="n">
        <f aca="false">INDEX(Reglas!$C$5:$C$8,MATCH(F56,Reglas!$A$5:$A$8,1))</f>
        <v>0.8</v>
      </c>
      <c r="H56" s="7"/>
      <c r="I56" s="8" t="n">
        <f aca="false">INDEX(Reglas!$D$5:$D$8,MATCH(F56,Reglas!$A$5:$A$8,1))</f>
        <v>0</v>
      </c>
      <c r="J56" s="9" t="n">
        <f aca="false">IF(H56="",MAX(F56*(1+G56),I56),F56*(1+H56))</f>
        <v>482.292</v>
      </c>
      <c r="K56" s="10" t="n">
        <f aca="false">IF(J56&lt;1000,CEILING(J56,10)-1,CEILING(J56,50)-1)</f>
        <v>489</v>
      </c>
      <c r="L56" s="9" t="n">
        <f aca="false">K56-F56</f>
        <v>221.06</v>
      </c>
      <c r="M56" s="11" t="n">
        <f aca="false">IF(K56=0,"",L56/K56)</f>
        <v>0.452065439672802</v>
      </c>
      <c r="N56" s="11" t="n">
        <f aca="false">IF(F56=0,"",K56/F56-1)</f>
        <v>0.825035455699037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17</v>
      </c>
      <c r="D57" s="4" t="s">
        <v>122</v>
      </c>
      <c r="E57" s="4" t="s">
        <v>123</v>
      </c>
      <c r="F57" s="5" t="n">
        <v>276.18</v>
      </c>
      <c r="G57" s="6" t="n">
        <f aca="false">INDEX(Reglas!$C$5:$C$8,MATCH(F57,Reglas!$A$5:$A$8,1))</f>
        <v>0.8</v>
      </c>
      <c r="H57" s="7"/>
      <c r="I57" s="8" t="n">
        <f aca="false">INDEX(Reglas!$D$5:$D$8,MATCH(F57,Reglas!$A$5:$A$8,1))</f>
        <v>0</v>
      </c>
      <c r="J57" s="9" t="n">
        <f aca="false">IF(H57="",MAX(F57*(1+G57),I57),F57*(1+H57))</f>
        <v>497.124</v>
      </c>
      <c r="K57" s="10" t="n">
        <f aca="false">IF(J57&lt;1000,CEILING(J57,10)-1,CEILING(J57,50)-1)</f>
        <v>499</v>
      </c>
      <c r="L57" s="9" t="n">
        <f aca="false">K57-F57</f>
        <v>222.82</v>
      </c>
      <c r="M57" s="11" t="n">
        <f aca="false">IF(K57=0,"",L57/K57)</f>
        <v>0.446533066132265</v>
      </c>
      <c r="N57" s="11" t="n">
        <f aca="false">IF(F57=0,"",K57/F57-1)</f>
        <v>0.806792671446158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17</v>
      </c>
      <c r="D58" s="4" t="s">
        <v>124</v>
      </c>
      <c r="E58" s="4" t="s">
        <v>125</v>
      </c>
      <c r="F58" s="5" t="n">
        <v>281.56</v>
      </c>
      <c r="G58" s="6" t="n">
        <f aca="false">INDEX(Reglas!$C$5:$C$8,MATCH(F58,Reglas!$A$5:$A$8,1))</f>
        <v>0.8</v>
      </c>
      <c r="H58" s="7"/>
      <c r="I58" s="8" t="n">
        <f aca="false">INDEX(Reglas!$D$5:$D$8,MATCH(F58,Reglas!$A$5:$A$8,1))</f>
        <v>0</v>
      </c>
      <c r="J58" s="9" t="n">
        <f aca="false">IF(H58="",MAX(F58*(1+G58),I58),F58*(1+H58))</f>
        <v>506.808</v>
      </c>
      <c r="K58" s="10" t="n">
        <f aca="false">IF(J58&lt;1000,CEILING(J58,10)-1,CEILING(J58,50)-1)</f>
        <v>509</v>
      </c>
      <c r="L58" s="9" t="n">
        <f aca="false">K58-F58</f>
        <v>227.44</v>
      </c>
      <c r="M58" s="11" t="n">
        <f aca="false">IF(K58=0,"",L58/K58)</f>
        <v>0.446836935166994</v>
      </c>
      <c r="N58" s="11" t="n">
        <f aca="false">IF(F58=0,"",K58/F58-1)</f>
        <v>0.807785196760904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17</v>
      </c>
      <c r="D59" s="4" t="s">
        <v>126</v>
      </c>
      <c r="E59" s="4" t="s">
        <v>127</v>
      </c>
      <c r="F59" s="5" t="n">
        <v>281.81</v>
      </c>
      <c r="G59" s="6" t="n">
        <f aca="false">INDEX(Reglas!$C$5:$C$8,MATCH(F59,Reglas!$A$5:$A$8,1))</f>
        <v>0.8</v>
      </c>
      <c r="H59" s="7"/>
      <c r="I59" s="8" t="n">
        <f aca="false">INDEX(Reglas!$D$5:$D$8,MATCH(F59,Reglas!$A$5:$A$8,1))</f>
        <v>0</v>
      </c>
      <c r="J59" s="9" t="n">
        <f aca="false">IF(H59="",MAX(F59*(1+G59),I59),F59*(1+H59))</f>
        <v>507.258</v>
      </c>
      <c r="K59" s="10" t="n">
        <f aca="false">IF(J59&lt;1000,CEILING(J59,10)-1,CEILING(J59,50)-1)</f>
        <v>509</v>
      </c>
      <c r="L59" s="9" t="n">
        <f aca="false">K59-F59</f>
        <v>227.19</v>
      </c>
      <c r="M59" s="11" t="n">
        <f aca="false">IF(K59=0,"",L59/K59)</f>
        <v>0.446345776031434</v>
      </c>
      <c r="N59" s="11" t="n">
        <f aca="false">IF(F59=0,"",K59/F59-1)</f>
        <v>0.806181469784607</v>
      </c>
    </row>
    <row r="60" customFormat="false" ht="15" hidden="false" customHeight="false" outlineLevel="0" collapsed="false">
      <c r="A60" s="4" t="n">
        <v>56</v>
      </c>
      <c r="B60" s="4" t="s">
        <v>16</v>
      </c>
      <c r="C60" s="4" t="s">
        <v>17</v>
      </c>
      <c r="D60" s="4" t="s">
        <v>128</v>
      </c>
      <c r="E60" s="4" t="s">
        <v>129</v>
      </c>
      <c r="F60" s="5" t="n">
        <v>288</v>
      </c>
      <c r="G60" s="6" t="n">
        <f aca="false">INDEX(Reglas!$C$5:$C$8,MATCH(F60,Reglas!$A$5:$A$8,1))</f>
        <v>0.8</v>
      </c>
      <c r="H60" s="7"/>
      <c r="I60" s="8" t="n">
        <f aca="false">INDEX(Reglas!$D$5:$D$8,MATCH(F60,Reglas!$A$5:$A$8,1))</f>
        <v>0</v>
      </c>
      <c r="J60" s="9" t="n">
        <f aca="false">IF(H60="",MAX(F60*(1+G60),I60),F60*(1+H60))</f>
        <v>518.4</v>
      </c>
      <c r="K60" s="10" t="n">
        <f aca="false">IF(J60&lt;1000,CEILING(J60,10)-1,CEILING(J60,50)-1)</f>
        <v>519</v>
      </c>
      <c r="L60" s="9" t="n">
        <f aca="false">K60-F60</f>
        <v>231</v>
      </c>
      <c r="M60" s="11" t="n">
        <f aca="false">IF(K60=0,"",L60/K60)</f>
        <v>0.445086705202312</v>
      </c>
      <c r="N60" s="11" t="n">
        <f aca="false">IF(F60=0,"",K60/F60-1)</f>
        <v>0.802083333333333</v>
      </c>
    </row>
    <row r="61" customFormat="false" ht="15" hidden="false" customHeight="false" outlineLevel="0" collapsed="false">
      <c r="A61" s="4" t="n">
        <v>57</v>
      </c>
      <c r="B61" s="4" t="s">
        <v>16</v>
      </c>
      <c r="C61" s="4" t="s">
        <v>17</v>
      </c>
      <c r="D61" s="4" t="s">
        <v>130</v>
      </c>
      <c r="E61" s="4" t="s">
        <v>131</v>
      </c>
      <c r="F61" s="5" t="n">
        <v>285.8</v>
      </c>
      <c r="G61" s="6" t="n">
        <f aca="false">INDEX(Reglas!$C$5:$C$8,MATCH(F61,Reglas!$A$5:$A$8,1))</f>
        <v>0.8</v>
      </c>
      <c r="H61" s="7"/>
      <c r="I61" s="8" t="n">
        <f aca="false">INDEX(Reglas!$D$5:$D$8,MATCH(F61,Reglas!$A$5:$A$8,1))</f>
        <v>0</v>
      </c>
      <c r="J61" s="9" t="n">
        <f aca="false">IF(H61="",MAX(F61*(1+G61),I61),F61*(1+H61))</f>
        <v>514.44</v>
      </c>
      <c r="K61" s="10" t="n">
        <f aca="false">IF(J61&lt;1000,CEILING(J61,10)-1,CEILING(J61,50)-1)</f>
        <v>519</v>
      </c>
      <c r="L61" s="9" t="n">
        <f aca="false">K61-F61</f>
        <v>233.2</v>
      </c>
      <c r="M61" s="11" t="n">
        <f aca="false">IF(K61=0,"",L61/K61)</f>
        <v>0.449325626204239</v>
      </c>
      <c r="N61" s="11" t="n">
        <f aca="false">IF(F61=0,"",K61/F61-1)</f>
        <v>0.815955213435969</v>
      </c>
    </row>
    <row r="62" customFormat="false" ht="15" hidden="false" customHeight="false" outlineLevel="0" collapsed="false">
      <c r="A62" s="4" t="n">
        <v>58</v>
      </c>
      <c r="B62" s="4" t="s">
        <v>16</v>
      </c>
      <c r="C62" s="4" t="s">
        <v>17</v>
      </c>
      <c r="D62" s="4" t="s">
        <v>132</v>
      </c>
      <c r="E62" s="4" t="s">
        <v>133</v>
      </c>
      <c r="F62" s="5" t="n">
        <v>294.26</v>
      </c>
      <c r="G62" s="6" t="n">
        <f aca="false">INDEX(Reglas!$C$5:$C$8,MATCH(F62,Reglas!$A$5:$A$8,1))</f>
        <v>0.8</v>
      </c>
      <c r="H62" s="7"/>
      <c r="I62" s="8" t="n">
        <f aca="false">INDEX(Reglas!$D$5:$D$8,MATCH(F62,Reglas!$A$5:$A$8,1))</f>
        <v>0</v>
      </c>
      <c r="J62" s="9" t="n">
        <f aca="false">IF(H62="",MAX(F62*(1+G62),I62),F62*(1+H62))</f>
        <v>529.668</v>
      </c>
      <c r="K62" s="10" t="n">
        <f aca="false">IF(J62&lt;1000,CEILING(J62,10)-1,CEILING(J62,50)-1)</f>
        <v>529</v>
      </c>
      <c r="L62" s="9" t="n">
        <f aca="false">K62-F62</f>
        <v>234.74</v>
      </c>
      <c r="M62" s="11" t="n">
        <f aca="false">IF(K62=0,"",L62/K62)</f>
        <v>0.443742911153119</v>
      </c>
      <c r="N62" s="11" t="n">
        <f aca="false">IF(F62=0,"",K62/F62-1)</f>
        <v>0.797729898729015</v>
      </c>
    </row>
    <row r="63" customFormat="false" ht="15" hidden="false" customHeight="false" outlineLevel="0" collapsed="false">
      <c r="A63" s="4" t="n">
        <v>59</v>
      </c>
      <c r="B63" s="4" t="s">
        <v>16</v>
      </c>
      <c r="C63" s="4" t="s">
        <v>17</v>
      </c>
      <c r="D63" s="4" t="s">
        <v>134</v>
      </c>
      <c r="E63" s="4" t="s">
        <v>135</v>
      </c>
      <c r="F63" s="5" t="n">
        <v>292.49</v>
      </c>
      <c r="G63" s="6" t="n">
        <f aca="false">INDEX(Reglas!$C$5:$C$8,MATCH(F63,Reglas!$A$5:$A$8,1))</f>
        <v>0.8</v>
      </c>
      <c r="H63" s="7"/>
      <c r="I63" s="8" t="n">
        <f aca="false">INDEX(Reglas!$D$5:$D$8,MATCH(F63,Reglas!$A$5:$A$8,1))</f>
        <v>0</v>
      </c>
      <c r="J63" s="9" t="n">
        <f aca="false">IF(H63="",MAX(F63*(1+G63),I63),F63*(1+H63))</f>
        <v>526.482</v>
      </c>
      <c r="K63" s="10" t="n">
        <f aca="false">IF(J63&lt;1000,CEILING(J63,10)-1,CEILING(J63,50)-1)</f>
        <v>529</v>
      </c>
      <c r="L63" s="9" t="n">
        <f aca="false">K63-F63</f>
        <v>236.51</v>
      </c>
      <c r="M63" s="11" t="n">
        <f aca="false">IF(K63=0,"",L63/K63)</f>
        <v>0.447088846880907</v>
      </c>
      <c r="N63" s="11" t="n">
        <f aca="false">IF(F63=0,"",K63/F63-1)</f>
        <v>0.808608841327909</v>
      </c>
    </row>
    <row r="64" customFormat="false" ht="15" hidden="false" customHeight="false" outlineLevel="0" collapsed="false">
      <c r="A64" s="4" t="n">
        <v>60</v>
      </c>
      <c r="B64" s="4" t="s">
        <v>16</v>
      </c>
      <c r="C64" s="4" t="s">
        <v>17</v>
      </c>
      <c r="D64" s="4" t="s">
        <v>136</v>
      </c>
      <c r="E64" s="4" t="s">
        <v>137</v>
      </c>
      <c r="F64" s="5" t="n">
        <v>298.71</v>
      </c>
      <c r="G64" s="6" t="n">
        <f aca="false">INDEX(Reglas!$C$5:$C$8,MATCH(F64,Reglas!$A$5:$A$8,1))</f>
        <v>0.8</v>
      </c>
      <c r="H64" s="7"/>
      <c r="I64" s="8" t="n">
        <f aca="false">INDEX(Reglas!$D$5:$D$8,MATCH(F64,Reglas!$A$5:$A$8,1))</f>
        <v>0</v>
      </c>
      <c r="J64" s="9" t="n">
        <f aca="false">IF(H64="",MAX(F64*(1+G64),I64),F64*(1+H64))</f>
        <v>537.678</v>
      </c>
      <c r="K64" s="10" t="n">
        <f aca="false">IF(J64&lt;1000,CEILING(J64,10)-1,CEILING(J64,50)-1)</f>
        <v>539</v>
      </c>
      <c r="L64" s="9" t="n">
        <f aca="false">K64-F64</f>
        <v>240.29</v>
      </c>
      <c r="M64" s="11" t="n">
        <f aca="false">IF(K64=0,"",L64/K64)</f>
        <v>0.445807050092764</v>
      </c>
      <c r="N64" s="11" t="n">
        <f aca="false">IF(F64=0,"",K64/F64-1)</f>
        <v>0.804425697164474</v>
      </c>
    </row>
    <row r="65" customFormat="false" ht="15" hidden="false" customHeight="false" outlineLevel="0" collapsed="false">
      <c r="A65" s="4" t="n">
        <v>61</v>
      </c>
      <c r="B65" s="4" t="s">
        <v>16</v>
      </c>
      <c r="C65" s="4" t="s">
        <v>17</v>
      </c>
      <c r="D65" s="4" t="s">
        <v>138</v>
      </c>
      <c r="E65" s="4" t="s">
        <v>139</v>
      </c>
      <c r="F65" s="5" t="n">
        <v>297.87</v>
      </c>
      <c r="G65" s="6" t="n">
        <f aca="false">INDEX(Reglas!$C$5:$C$8,MATCH(F65,Reglas!$A$5:$A$8,1))</f>
        <v>0.8</v>
      </c>
      <c r="H65" s="7"/>
      <c r="I65" s="8" t="n">
        <f aca="false">INDEX(Reglas!$D$5:$D$8,MATCH(F65,Reglas!$A$5:$A$8,1))</f>
        <v>0</v>
      </c>
      <c r="J65" s="9" t="n">
        <f aca="false">IF(H65="",MAX(F65*(1+G65),I65),F65*(1+H65))</f>
        <v>536.166</v>
      </c>
      <c r="K65" s="10" t="n">
        <f aca="false">IF(J65&lt;1000,CEILING(J65,10)-1,CEILING(J65,50)-1)</f>
        <v>539</v>
      </c>
      <c r="L65" s="9" t="n">
        <f aca="false">K65-F65</f>
        <v>241.13</v>
      </c>
      <c r="M65" s="11" t="n">
        <f aca="false">IF(K65=0,"",L65/K65)</f>
        <v>0.447365491651206</v>
      </c>
      <c r="N65" s="11" t="n">
        <f aca="false">IF(F65=0,"",K65/F65-1)</f>
        <v>0.80951421761171</v>
      </c>
    </row>
    <row r="66" customFormat="false" ht="15" hidden="false" customHeight="false" outlineLevel="0" collapsed="false">
      <c r="A66" s="4" t="n">
        <v>62</v>
      </c>
      <c r="B66" s="4" t="s">
        <v>16</v>
      </c>
      <c r="C66" s="4" t="s">
        <v>17</v>
      </c>
      <c r="D66" s="4" t="s">
        <v>140</v>
      </c>
      <c r="E66" s="4" t="s">
        <v>141</v>
      </c>
      <c r="F66" s="5" t="n">
        <v>349.5</v>
      </c>
      <c r="G66" s="6" t="n">
        <f aca="false">INDEX(Reglas!$C$5:$C$8,MATCH(F66,Reglas!$A$5:$A$8,1))</f>
        <v>0.65</v>
      </c>
      <c r="H66" s="7"/>
      <c r="I66" s="8" t="n">
        <f aca="false">INDEX(Reglas!$D$5:$D$8,MATCH(F66,Reglas!$A$5:$A$8,1))</f>
        <v>540</v>
      </c>
      <c r="J66" s="9" t="n">
        <f aca="false">IF(H66="",MAX(F66*(1+G66),I66),F66*(1+H66))</f>
        <v>576.675</v>
      </c>
      <c r="K66" s="10" t="n">
        <f aca="false">IF(J66&lt;1000,CEILING(J66,10)-1,CEILING(J66,50)-1)</f>
        <v>579</v>
      </c>
      <c r="L66" s="9" t="n">
        <f aca="false">K66-F66</f>
        <v>229.5</v>
      </c>
      <c r="M66" s="11" t="n">
        <f aca="false">IF(K66=0,"",L66/K66)</f>
        <v>0.396373056994819</v>
      </c>
      <c r="N66" s="11" t="n">
        <f aca="false">IF(F66=0,"",K66/F66-1)</f>
        <v>0.656652360515021</v>
      </c>
    </row>
    <row r="67" customFormat="false" ht="15" hidden="false" customHeight="false" outlineLevel="0" collapsed="false">
      <c r="A67" s="4" t="n">
        <v>63</v>
      </c>
      <c r="B67" s="4" t="s">
        <v>16</v>
      </c>
      <c r="C67" s="4" t="s">
        <v>17</v>
      </c>
      <c r="D67" s="4" t="s">
        <v>142</v>
      </c>
      <c r="E67" s="4" t="s">
        <v>143</v>
      </c>
      <c r="F67" s="5" t="n">
        <v>356.02</v>
      </c>
      <c r="G67" s="6" t="n">
        <f aca="false">INDEX(Reglas!$C$5:$C$8,MATCH(F67,Reglas!$A$5:$A$8,1))</f>
        <v>0.65</v>
      </c>
      <c r="H67" s="7"/>
      <c r="I67" s="8" t="n">
        <f aca="false">INDEX(Reglas!$D$5:$D$8,MATCH(F67,Reglas!$A$5:$A$8,1))</f>
        <v>540</v>
      </c>
      <c r="J67" s="9" t="n">
        <f aca="false">IF(H67="",MAX(F67*(1+G67),I67),F67*(1+H67))</f>
        <v>587.433</v>
      </c>
      <c r="K67" s="10" t="n">
        <f aca="false">IF(J67&lt;1000,CEILING(J67,10)-1,CEILING(J67,50)-1)</f>
        <v>589</v>
      </c>
      <c r="L67" s="9" t="n">
        <f aca="false">K67-F67</f>
        <v>232.98</v>
      </c>
      <c r="M67" s="11" t="n">
        <f aca="false">IF(K67=0,"",L67/K67)</f>
        <v>0.395551782682513</v>
      </c>
      <c r="N67" s="11" t="n">
        <f aca="false">IF(F67=0,"",K67/F67-1)</f>
        <v>0.654401438121454</v>
      </c>
    </row>
    <row r="68" customFormat="false" ht="15" hidden="false" customHeight="false" outlineLevel="0" collapsed="false">
      <c r="A68" s="4" t="n">
        <v>64</v>
      </c>
      <c r="B68" s="4" t="s">
        <v>16</v>
      </c>
      <c r="C68" s="4" t="s">
        <v>17</v>
      </c>
      <c r="D68" s="4" t="s">
        <v>144</v>
      </c>
      <c r="E68" s="4" t="s">
        <v>145</v>
      </c>
      <c r="F68" s="5" t="n">
        <v>365.52</v>
      </c>
      <c r="G68" s="6" t="n">
        <f aca="false">INDEX(Reglas!$C$5:$C$8,MATCH(F68,Reglas!$A$5:$A$8,1))</f>
        <v>0.65</v>
      </c>
      <c r="H68" s="7"/>
      <c r="I68" s="8" t="n">
        <f aca="false">INDEX(Reglas!$D$5:$D$8,MATCH(F68,Reglas!$A$5:$A$8,1))</f>
        <v>540</v>
      </c>
      <c r="J68" s="9" t="n">
        <f aca="false">IF(H68="",MAX(F68*(1+G68),I68),F68*(1+H68))</f>
        <v>603.108</v>
      </c>
      <c r="K68" s="10" t="n">
        <f aca="false">IF(J68&lt;1000,CEILING(J68,10)-1,CEILING(J68,50)-1)</f>
        <v>609</v>
      </c>
      <c r="L68" s="9" t="n">
        <f aca="false">K68-F68</f>
        <v>243.48</v>
      </c>
      <c r="M68" s="11" t="n">
        <f aca="false">IF(K68=0,"",L68/K68)</f>
        <v>0.399802955665025</v>
      </c>
      <c r="N68" s="11" t="n">
        <f aca="false">IF(F68=0,"",K68/F68-1)</f>
        <v>0.666119500984898</v>
      </c>
    </row>
    <row r="69" customFormat="false" ht="15" hidden="false" customHeight="false" outlineLevel="0" collapsed="false">
      <c r="A69" s="4" t="n">
        <v>65</v>
      </c>
      <c r="B69" s="4" t="s">
        <v>16</v>
      </c>
      <c r="C69" s="4" t="s">
        <v>17</v>
      </c>
      <c r="D69" s="4" t="s">
        <v>146</v>
      </c>
      <c r="E69" s="4" t="s">
        <v>147</v>
      </c>
      <c r="F69" s="5" t="n">
        <v>398.35</v>
      </c>
      <c r="G69" s="6" t="n">
        <f aca="false">INDEX(Reglas!$C$5:$C$8,MATCH(F69,Reglas!$A$5:$A$8,1))</f>
        <v>0.65</v>
      </c>
      <c r="H69" s="7"/>
      <c r="I69" s="8" t="n">
        <f aca="false">INDEX(Reglas!$D$5:$D$8,MATCH(F69,Reglas!$A$5:$A$8,1))</f>
        <v>540</v>
      </c>
      <c r="J69" s="9" t="n">
        <f aca="false">IF(H69="",MAX(F69*(1+G69),I69),F69*(1+H69))</f>
        <v>657.2775</v>
      </c>
      <c r="K69" s="10" t="n">
        <f aca="false">IF(J69&lt;1000,CEILING(J69,10)-1,CEILING(J69,50)-1)</f>
        <v>659</v>
      </c>
      <c r="L69" s="9" t="n">
        <f aca="false">K69-F69</f>
        <v>260.65</v>
      </c>
      <c r="M69" s="11" t="n">
        <f aca="false">IF(K69=0,"",L69/K69)</f>
        <v>0.395523520485584</v>
      </c>
      <c r="N69" s="11" t="n">
        <f aca="false">IF(F69=0,"",K69/F69-1)</f>
        <v>0.65432408685829</v>
      </c>
    </row>
    <row r="70" customFormat="false" ht="15" hidden="false" customHeight="false" outlineLevel="0" collapsed="false">
      <c r="A70" s="4" t="n">
        <v>66</v>
      </c>
      <c r="B70" s="4" t="s">
        <v>16</v>
      </c>
      <c r="C70" s="4" t="s">
        <v>17</v>
      </c>
      <c r="D70" s="4" t="s">
        <v>148</v>
      </c>
      <c r="E70" s="4" t="s">
        <v>149</v>
      </c>
      <c r="F70" s="5" t="n">
        <v>409.77</v>
      </c>
      <c r="G70" s="6" t="n">
        <f aca="false">INDEX(Reglas!$C$5:$C$8,MATCH(F70,Reglas!$A$5:$A$8,1))</f>
        <v>0.65</v>
      </c>
      <c r="H70" s="7"/>
      <c r="I70" s="8" t="n">
        <f aca="false">INDEX(Reglas!$D$5:$D$8,MATCH(F70,Reglas!$A$5:$A$8,1))</f>
        <v>540</v>
      </c>
      <c r="J70" s="9" t="n">
        <f aca="false">IF(H70="",MAX(F70*(1+G70),I70),F70*(1+H70))</f>
        <v>676.1205</v>
      </c>
      <c r="K70" s="10" t="n">
        <f aca="false">IF(J70&lt;1000,CEILING(J70,10)-1,CEILING(J70,50)-1)</f>
        <v>679</v>
      </c>
      <c r="L70" s="9" t="n">
        <f aca="false">K70-F70</f>
        <v>269.23</v>
      </c>
      <c r="M70" s="11" t="n">
        <f aca="false">IF(K70=0,"",L70/K70)</f>
        <v>0.396509572901326</v>
      </c>
      <c r="N70" s="11" t="n">
        <f aca="false">IF(F70=0,"",K70/F70-1)</f>
        <v>0.657027112770579</v>
      </c>
    </row>
    <row r="71" customFormat="false" ht="15" hidden="false" customHeight="false" outlineLevel="0" collapsed="false">
      <c r="A71" s="4" t="n">
        <v>67</v>
      </c>
      <c r="B71" s="4" t="s">
        <v>16</v>
      </c>
      <c r="C71" s="4" t="s">
        <v>17</v>
      </c>
      <c r="D71" s="4" t="s">
        <v>150</v>
      </c>
      <c r="E71" s="4" t="s">
        <v>151</v>
      </c>
      <c r="F71" s="5" t="n">
        <v>518.83</v>
      </c>
      <c r="G71" s="6" t="n">
        <f aca="false">INDEX(Reglas!$C$5:$C$8,MATCH(F71,Reglas!$A$5:$A$8,1))</f>
        <v>0.65</v>
      </c>
      <c r="H71" s="7"/>
      <c r="I71" s="8" t="n">
        <f aca="false">INDEX(Reglas!$D$5:$D$8,MATCH(F71,Reglas!$A$5:$A$8,1))</f>
        <v>540</v>
      </c>
      <c r="J71" s="9" t="n">
        <f aca="false">IF(H71="",MAX(F71*(1+G71),I71),F71*(1+H71))</f>
        <v>856.0695</v>
      </c>
      <c r="K71" s="10" t="n">
        <f aca="false">IF(J71&lt;1000,CEILING(J71,10)-1,CEILING(J71,50)-1)</f>
        <v>859</v>
      </c>
      <c r="L71" s="9" t="n">
        <f aca="false">K71-F71</f>
        <v>340.17</v>
      </c>
      <c r="M71" s="11" t="n">
        <f aca="false">IF(K71=0,"",L71/K71)</f>
        <v>0.396006984866123</v>
      </c>
      <c r="N71" s="11" t="n">
        <f aca="false">IF(F71=0,"",K71/F71-1)</f>
        <v>0.655648285565599</v>
      </c>
    </row>
    <row r="72" customFormat="false" ht="15" hidden="false" customHeight="false" outlineLevel="0" collapsed="false">
      <c r="A72" s="4" t="n">
        <v>68</v>
      </c>
      <c r="B72" s="4" t="s">
        <v>16</v>
      </c>
      <c r="C72" s="4" t="s">
        <v>17</v>
      </c>
      <c r="D72" s="4" t="s">
        <v>152</v>
      </c>
      <c r="E72" s="4" t="s">
        <v>153</v>
      </c>
      <c r="F72" s="5" t="n">
        <v>581.44</v>
      </c>
      <c r="G72" s="6" t="n">
        <f aca="false">INDEX(Reglas!$C$5:$C$8,MATCH(F72,Reglas!$A$5:$A$8,1))</f>
        <v>0.65</v>
      </c>
      <c r="H72" s="7"/>
      <c r="I72" s="8" t="n">
        <f aca="false">INDEX(Reglas!$D$5:$D$8,MATCH(F72,Reglas!$A$5:$A$8,1))</f>
        <v>540</v>
      </c>
      <c r="J72" s="9" t="n">
        <f aca="false">IF(H72="",MAX(F72*(1+G72),I72),F72*(1+H72))</f>
        <v>959.376</v>
      </c>
      <c r="K72" s="10" t="n">
        <f aca="false">IF(J72&lt;1000,CEILING(J72,10)-1,CEILING(J72,50)-1)</f>
        <v>959</v>
      </c>
      <c r="L72" s="9" t="n">
        <f aca="false">K72-F72</f>
        <v>377.56</v>
      </c>
      <c r="M72" s="11" t="n">
        <f aca="false">IF(K72=0,"",L72/K72)</f>
        <v>0.393701772679875</v>
      </c>
      <c r="N72" s="11" t="n">
        <f aca="false">IF(F72=0,"",K72/F72-1)</f>
        <v>0.649353329664282</v>
      </c>
    </row>
    <row r="73" customFormat="false" ht="15" hidden="false" customHeight="false" outlineLevel="0" collapsed="false">
      <c r="A73" s="4" t="n">
        <v>69</v>
      </c>
      <c r="B73" s="4" t="s">
        <v>16</v>
      </c>
      <c r="C73" s="4" t="s">
        <v>154</v>
      </c>
      <c r="D73" s="4" t="s">
        <v>155</v>
      </c>
      <c r="E73" s="4" t="s">
        <v>156</v>
      </c>
      <c r="F73" s="5" t="n">
        <v>184</v>
      </c>
      <c r="G73" s="6" t="n">
        <f aca="false">INDEX(Reglas!$C$5:$C$8,MATCH(F73,Reglas!$A$5:$A$8,1))</f>
        <v>0.8</v>
      </c>
      <c r="H73" s="7"/>
      <c r="I73" s="8" t="n">
        <f aca="false">INDEX(Reglas!$D$5:$D$8,MATCH(F73,Reglas!$A$5:$A$8,1))</f>
        <v>0</v>
      </c>
      <c r="J73" s="9" t="n">
        <f aca="false">IF(H73="",MAX(F73*(1+G73),I73),F73*(1+H73))</f>
        <v>331.2</v>
      </c>
      <c r="K73" s="10" t="n">
        <f aca="false">IF(J73&lt;1000,CEILING(J73,10)-1,CEILING(J73,50)-1)</f>
        <v>339</v>
      </c>
      <c r="L73" s="9" t="n">
        <f aca="false">K73-F73</f>
        <v>155</v>
      </c>
      <c r="M73" s="11" t="n">
        <f aca="false">IF(K73=0,"",L73/K73)</f>
        <v>0.457227138643068</v>
      </c>
      <c r="N73" s="11" t="n">
        <f aca="false">IF(F73=0,"",K73/F73-1)</f>
        <v>0.842391304347826</v>
      </c>
    </row>
    <row r="74" customFormat="false" ht="15" hidden="false" customHeight="false" outlineLevel="0" collapsed="false">
      <c r="A74" s="4" t="n">
        <v>70</v>
      </c>
      <c r="B74" s="4" t="s">
        <v>16</v>
      </c>
      <c r="C74" s="4" t="s">
        <v>154</v>
      </c>
      <c r="D74" s="4" t="s">
        <v>157</v>
      </c>
      <c r="E74" s="4" t="s">
        <v>158</v>
      </c>
      <c r="F74" s="5" t="n">
        <v>183.46</v>
      </c>
      <c r="G74" s="6" t="n">
        <f aca="false">INDEX(Reglas!$C$5:$C$8,MATCH(F74,Reglas!$A$5:$A$8,1))</f>
        <v>0.8</v>
      </c>
      <c r="H74" s="7"/>
      <c r="I74" s="8" t="n">
        <f aca="false">INDEX(Reglas!$D$5:$D$8,MATCH(F74,Reglas!$A$5:$A$8,1))</f>
        <v>0</v>
      </c>
      <c r="J74" s="9" t="n">
        <f aca="false">IF(H74="",MAX(F74*(1+G74),I74),F74*(1+H74))</f>
        <v>330.228</v>
      </c>
      <c r="K74" s="10" t="n">
        <f aca="false">IF(J74&lt;1000,CEILING(J74,10)-1,CEILING(J74,50)-1)</f>
        <v>339</v>
      </c>
      <c r="L74" s="9" t="n">
        <f aca="false">K74-F74</f>
        <v>155.54</v>
      </c>
      <c r="M74" s="11" t="n">
        <f aca="false">IF(K74=0,"",L74/K74)</f>
        <v>0.45882005899705</v>
      </c>
      <c r="N74" s="11" t="n">
        <f aca="false">IF(F74=0,"",K74/F74-1)</f>
        <v>0.847814237435953</v>
      </c>
    </row>
    <row r="75" customFormat="false" ht="15" hidden="false" customHeight="false" outlineLevel="0" collapsed="false">
      <c r="A75" s="4" t="n">
        <v>71</v>
      </c>
      <c r="B75" s="4" t="s">
        <v>16</v>
      </c>
      <c r="C75" s="4" t="s">
        <v>154</v>
      </c>
      <c r="D75" s="4" t="s">
        <v>159</v>
      </c>
      <c r="E75" s="4" t="s">
        <v>160</v>
      </c>
      <c r="F75" s="5" t="n">
        <v>193.12</v>
      </c>
      <c r="G75" s="6" t="n">
        <f aca="false">INDEX(Reglas!$C$5:$C$8,MATCH(F75,Reglas!$A$5:$A$8,1))</f>
        <v>0.8</v>
      </c>
      <c r="H75" s="7"/>
      <c r="I75" s="8" t="n">
        <f aca="false">INDEX(Reglas!$D$5:$D$8,MATCH(F75,Reglas!$A$5:$A$8,1))</f>
        <v>0</v>
      </c>
      <c r="J75" s="9" t="n">
        <f aca="false">IF(H75="",MAX(F75*(1+G75),I75),F75*(1+H75))</f>
        <v>347.616</v>
      </c>
      <c r="K75" s="10" t="n">
        <f aca="false">IF(J75&lt;1000,CEILING(J75,10)-1,CEILING(J75,50)-1)</f>
        <v>349</v>
      </c>
      <c r="L75" s="9" t="n">
        <f aca="false">K75-F75</f>
        <v>155.88</v>
      </c>
      <c r="M75" s="11" t="n">
        <f aca="false">IF(K75=0,"",L75/K75)</f>
        <v>0.446647564469914</v>
      </c>
      <c r="N75" s="11" t="n">
        <f aca="false">IF(F75=0,"",K75/F75-1)</f>
        <v>0.807166528583264</v>
      </c>
    </row>
    <row r="76" customFormat="false" ht="15" hidden="false" customHeight="false" outlineLevel="0" collapsed="false">
      <c r="A76" s="4" t="n">
        <v>72</v>
      </c>
      <c r="B76" s="4" t="s">
        <v>16</v>
      </c>
      <c r="C76" s="4" t="s">
        <v>154</v>
      </c>
      <c r="D76" s="4" t="s">
        <v>161</v>
      </c>
      <c r="E76" s="4" t="s">
        <v>162</v>
      </c>
      <c r="F76" s="5" t="n">
        <v>195.6</v>
      </c>
      <c r="G76" s="6" t="n">
        <f aca="false">INDEX(Reglas!$C$5:$C$8,MATCH(F76,Reglas!$A$5:$A$8,1))</f>
        <v>0.8</v>
      </c>
      <c r="H76" s="7"/>
      <c r="I76" s="8" t="n">
        <f aca="false">INDEX(Reglas!$D$5:$D$8,MATCH(F76,Reglas!$A$5:$A$8,1))</f>
        <v>0</v>
      </c>
      <c r="J76" s="9" t="n">
        <f aca="false">IF(H76="",MAX(F76*(1+G76),I76),F76*(1+H76))</f>
        <v>352.08</v>
      </c>
      <c r="K76" s="10" t="n">
        <f aca="false">IF(J76&lt;1000,CEILING(J76,10)-1,CEILING(J76,50)-1)</f>
        <v>359</v>
      </c>
      <c r="L76" s="9" t="n">
        <f aca="false">K76-F76</f>
        <v>163.4</v>
      </c>
      <c r="M76" s="11" t="n">
        <f aca="false">IF(K76=0,"",L76/K76)</f>
        <v>0.455153203342618</v>
      </c>
      <c r="N76" s="11" t="n">
        <f aca="false">IF(F76=0,"",K76/F76-1)</f>
        <v>0.835378323108384</v>
      </c>
    </row>
    <row r="77" customFormat="false" ht="15" hidden="false" customHeight="false" outlineLevel="0" collapsed="false">
      <c r="A77" s="4" t="n">
        <v>73</v>
      </c>
      <c r="B77" s="4" t="s">
        <v>16</v>
      </c>
      <c r="C77" s="4" t="s">
        <v>154</v>
      </c>
      <c r="D77" s="4" t="s">
        <v>163</v>
      </c>
      <c r="E77" s="4" t="s">
        <v>164</v>
      </c>
      <c r="F77" s="5" t="n">
        <v>205.87</v>
      </c>
      <c r="G77" s="6" t="n">
        <f aca="false">INDEX(Reglas!$C$5:$C$8,MATCH(F77,Reglas!$A$5:$A$8,1))</f>
        <v>0.8</v>
      </c>
      <c r="H77" s="7"/>
      <c r="I77" s="8" t="n">
        <f aca="false">INDEX(Reglas!$D$5:$D$8,MATCH(F77,Reglas!$A$5:$A$8,1))</f>
        <v>0</v>
      </c>
      <c r="J77" s="9" t="n">
        <f aca="false">IF(H77="",MAX(F77*(1+G77),I77),F77*(1+H77))</f>
        <v>370.566</v>
      </c>
      <c r="K77" s="10" t="n">
        <f aca="false">IF(J77&lt;1000,CEILING(J77,10)-1,CEILING(J77,50)-1)</f>
        <v>379</v>
      </c>
      <c r="L77" s="9" t="n">
        <f aca="false">K77-F77</f>
        <v>173.13</v>
      </c>
      <c r="M77" s="11" t="n">
        <f aca="false">IF(K77=0,"",L77/K77)</f>
        <v>0.456807387862797</v>
      </c>
      <c r="N77" s="11" t="n">
        <f aca="false">IF(F77=0,"",K77/F77-1)</f>
        <v>0.840967600913198</v>
      </c>
    </row>
    <row r="78" customFormat="false" ht="15" hidden="false" customHeight="false" outlineLevel="0" collapsed="false">
      <c r="A78" s="4" t="n">
        <v>74</v>
      </c>
      <c r="B78" s="4" t="s">
        <v>16</v>
      </c>
      <c r="C78" s="4" t="s">
        <v>154</v>
      </c>
      <c r="D78" s="4" t="s">
        <v>165</v>
      </c>
      <c r="E78" s="4" t="s">
        <v>166</v>
      </c>
      <c r="F78" s="5" t="n">
        <v>217.54</v>
      </c>
      <c r="G78" s="6" t="n">
        <f aca="false">INDEX(Reglas!$C$5:$C$8,MATCH(F78,Reglas!$A$5:$A$8,1))</f>
        <v>0.8</v>
      </c>
      <c r="H78" s="7"/>
      <c r="I78" s="8" t="n">
        <f aca="false">INDEX(Reglas!$D$5:$D$8,MATCH(F78,Reglas!$A$5:$A$8,1))</f>
        <v>0</v>
      </c>
      <c r="J78" s="9" t="n">
        <f aca="false">IF(H78="",MAX(F78*(1+G78),I78),F78*(1+H78))</f>
        <v>391.572</v>
      </c>
      <c r="K78" s="10" t="n">
        <f aca="false">IF(J78&lt;1000,CEILING(J78,10)-1,CEILING(J78,50)-1)</f>
        <v>399</v>
      </c>
      <c r="L78" s="9" t="n">
        <f aca="false">K78-F78</f>
        <v>181.46</v>
      </c>
      <c r="M78" s="11" t="n">
        <f aca="false">IF(K78=0,"",L78/K78)</f>
        <v>0.454786967418546</v>
      </c>
      <c r="N78" s="11" t="n">
        <f aca="false">IF(F78=0,"",K78/F78-1)</f>
        <v>0.834145444515951</v>
      </c>
    </row>
    <row r="79" customFormat="false" ht="15" hidden="false" customHeight="false" outlineLevel="0" collapsed="false">
      <c r="A79" s="4" t="n">
        <v>75</v>
      </c>
      <c r="B79" s="4" t="s">
        <v>16</v>
      </c>
      <c r="C79" s="4" t="s">
        <v>154</v>
      </c>
      <c r="D79" s="4" t="s">
        <v>167</v>
      </c>
      <c r="E79" s="4" t="s">
        <v>168</v>
      </c>
      <c r="F79" s="5" t="n">
        <v>223.95</v>
      </c>
      <c r="G79" s="6" t="n">
        <f aca="false">INDEX(Reglas!$C$5:$C$8,MATCH(F79,Reglas!$A$5:$A$8,1))</f>
        <v>0.8</v>
      </c>
      <c r="H79" s="7"/>
      <c r="I79" s="8" t="n">
        <f aca="false">INDEX(Reglas!$D$5:$D$8,MATCH(F79,Reglas!$A$5:$A$8,1))</f>
        <v>0</v>
      </c>
      <c r="J79" s="9" t="n">
        <f aca="false">IF(H79="",MAX(F79*(1+G79),I79),F79*(1+H79))</f>
        <v>403.11</v>
      </c>
      <c r="K79" s="10" t="n">
        <f aca="false">IF(J79&lt;1000,CEILING(J79,10)-1,CEILING(J79,50)-1)</f>
        <v>409</v>
      </c>
      <c r="L79" s="9" t="n">
        <f aca="false">K79-F79</f>
        <v>185.05</v>
      </c>
      <c r="M79" s="11" t="n">
        <f aca="false">IF(K79=0,"",L79/K79)</f>
        <v>0.452444987775061</v>
      </c>
      <c r="N79" s="11" t="n">
        <f aca="false">IF(F79=0,"",K79/F79-1)</f>
        <v>0.82630051350748</v>
      </c>
    </row>
    <row r="80" customFormat="false" ht="15" hidden="false" customHeight="false" outlineLevel="0" collapsed="false">
      <c r="A80" s="4" t="n">
        <v>76</v>
      </c>
      <c r="B80" s="4" t="s">
        <v>16</v>
      </c>
      <c r="C80" s="4" t="s">
        <v>154</v>
      </c>
      <c r="D80" s="4" t="s">
        <v>169</v>
      </c>
      <c r="E80" s="4" t="s">
        <v>170</v>
      </c>
      <c r="F80" s="5" t="n">
        <v>258.08</v>
      </c>
      <c r="G80" s="6" t="n">
        <f aca="false">INDEX(Reglas!$C$5:$C$8,MATCH(F80,Reglas!$A$5:$A$8,1))</f>
        <v>0.8</v>
      </c>
      <c r="H80" s="7"/>
      <c r="I80" s="8" t="n">
        <f aca="false">INDEX(Reglas!$D$5:$D$8,MATCH(F80,Reglas!$A$5:$A$8,1))</f>
        <v>0</v>
      </c>
      <c r="J80" s="9" t="n">
        <f aca="false">IF(H80="",MAX(F80*(1+G80),I80),F80*(1+H80))</f>
        <v>464.544</v>
      </c>
      <c r="K80" s="10" t="n">
        <f aca="false">IF(J80&lt;1000,CEILING(J80,10)-1,CEILING(J80,50)-1)</f>
        <v>469</v>
      </c>
      <c r="L80" s="9" t="n">
        <f aca="false">K80-F80</f>
        <v>210.92</v>
      </c>
      <c r="M80" s="11" t="n">
        <f aca="false">IF(K80=0,"",L80/K80)</f>
        <v>0.449722814498934</v>
      </c>
      <c r="N80" s="11" t="n">
        <f aca="false">IF(F80=0,"",K80/F80-1)</f>
        <v>0.817265964042158</v>
      </c>
    </row>
    <row r="81" customFormat="false" ht="15" hidden="false" customHeight="false" outlineLevel="0" collapsed="false">
      <c r="A81" s="4" t="n">
        <v>77</v>
      </c>
      <c r="B81" s="4" t="s">
        <v>16</v>
      </c>
      <c r="C81" s="4" t="s">
        <v>154</v>
      </c>
      <c r="D81" s="4" t="s">
        <v>171</v>
      </c>
      <c r="E81" s="4" t="s">
        <v>172</v>
      </c>
      <c r="F81" s="5" t="n">
        <v>275.63</v>
      </c>
      <c r="G81" s="6" t="n">
        <f aca="false">INDEX(Reglas!$C$5:$C$8,MATCH(F81,Reglas!$A$5:$A$8,1))</f>
        <v>0.8</v>
      </c>
      <c r="H81" s="7"/>
      <c r="I81" s="8" t="n">
        <f aca="false">INDEX(Reglas!$D$5:$D$8,MATCH(F81,Reglas!$A$5:$A$8,1))</f>
        <v>0</v>
      </c>
      <c r="J81" s="9" t="n">
        <f aca="false">IF(H81="",MAX(F81*(1+G81),I81),F81*(1+H81))</f>
        <v>496.134</v>
      </c>
      <c r="K81" s="10" t="n">
        <f aca="false">IF(J81&lt;1000,CEILING(J81,10)-1,CEILING(J81,50)-1)</f>
        <v>499</v>
      </c>
      <c r="L81" s="9" t="n">
        <f aca="false">K81-F81</f>
        <v>223.37</v>
      </c>
      <c r="M81" s="11" t="n">
        <f aca="false">IF(K81=0,"",L81/K81)</f>
        <v>0.447635270541082</v>
      </c>
      <c r="N81" s="11" t="n">
        <f aca="false">IF(F81=0,"",K81/F81-1)</f>
        <v>0.810397997315242</v>
      </c>
    </row>
    <row r="82" customFormat="false" ht="15" hidden="false" customHeight="false" outlineLevel="0" collapsed="false">
      <c r="A82" s="4" t="n">
        <v>78</v>
      </c>
      <c r="B82" s="4" t="s">
        <v>16</v>
      </c>
      <c r="C82" s="4" t="s">
        <v>154</v>
      </c>
      <c r="D82" s="4" t="s">
        <v>173</v>
      </c>
      <c r="E82" s="4" t="s">
        <v>174</v>
      </c>
      <c r="F82" s="5" t="n">
        <v>278.21</v>
      </c>
      <c r="G82" s="6" t="n">
        <f aca="false">INDEX(Reglas!$C$5:$C$8,MATCH(F82,Reglas!$A$5:$A$8,1))</f>
        <v>0.8</v>
      </c>
      <c r="H82" s="7"/>
      <c r="I82" s="8" t="n">
        <f aca="false">INDEX(Reglas!$D$5:$D$8,MATCH(F82,Reglas!$A$5:$A$8,1))</f>
        <v>0</v>
      </c>
      <c r="J82" s="9" t="n">
        <f aca="false">IF(H82="",MAX(F82*(1+G82),I82),F82*(1+H82))</f>
        <v>500.778</v>
      </c>
      <c r="K82" s="10" t="n">
        <f aca="false">IF(J82&lt;1000,CEILING(J82,10)-1,CEILING(J82,50)-1)</f>
        <v>509</v>
      </c>
      <c r="L82" s="9" t="n">
        <f aca="false">K82-F82</f>
        <v>230.79</v>
      </c>
      <c r="M82" s="11" t="n">
        <f aca="false">IF(K82=0,"",L82/K82)</f>
        <v>0.453418467583497</v>
      </c>
      <c r="N82" s="11" t="n">
        <f aca="false">IF(F82=0,"",K82/F82-1)</f>
        <v>0.829553215197153</v>
      </c>
    </row>
    <row r="83" customFormat="false" ht="15" hidden="false" customHeight="false" outlineLevel="0" collapsed="false">
      <c r="A83" s="4" t="n">
        <v>79</v>
      </c>
      <c r="B83" s="4" t="s">
        <v>16</v>
      </c>
      <c r="C83" s="4" t="s">
        <v>154</v>
      </c>
      <c r="D83" s="4" t="s">
        <v>175</v>
      </c>
      <c r="E83" s="4" t="s">
        <v>176</v>
      </c>
      <c r="F83" s="5" t="n">
        <v>288.81</v>
      </c>
      <c r="G83" s="6" t="n">
        <f aca="false">INDEX(Reglas!$C$5:$C$8,MATCH(F83,Reglas!$A$5:$A$8,1))</f>
        <v>0.8</v>
      </c>
      <c r="H83" s="7"/>
      <c r="I83" s="8" t="n">
        <f aca="false">INDEX(Reglas!$D$5:$D$8,MATCH(F83,Reglas!$A$5:$A$8,1))</f>
        <v>0</v>
      </c>
      <c r="J83" s="9" t="n">
        <f aca="false">IF(H83="",MAX(F83*(1+G83),I83),F83*(1+H83))</f>
        <v>519.858</v>
      </c>
      <c r="K83" s="10" t="n">
        <f aca="false">IF(J83&lt;1000,CEILING(J83,10)-1,CEILING(J83,50)-1)</f>
        <v>519</v>
      </c>
      <c r="L83" s="9" t="n">
        <f aca="false">K83-F83</f>
        <v>230.19</v>
      </c>
      <c r="M83" s="11" t="n">
        <f aca="false">IF(K83=0,"",L83/K83)</f>
        <v>0.443526011560694</v>
      </c>
      <c r="N83" s="11" t="n">
        <f aca="false">IF(F83=0,"",K83/F83-1)</f>
        <v>0.797029188740002</v>
      </c>
    </row>
    <row r="84" customFormat="false" ht="15" hidden="false" customHeight="false" outlineLevel="0" collapsed="false">
      <c r="A84" s="4" t="n">
        <v>80</v>
      </c>
      <c r="B84" s="4" t="s">
        <v>16</v>
      </c>
      <c r="C84" s="4" t="s">
        <v>154</v>
      </c>
      <c r="D84" s="4" t="s">
        <v>177</v>
      </c>
      <c r="E84" s="4" t="s">
        <v>178</v>
      </c>
      <c r="F84" s="5" t="n">
        <v>322.88</v>
      </c>
      <c r="G84" s="6" t="n">
        <f aca="false">INDEX(Reglas!$C$5:$C$8,MATCH(F84,Reglas!$A$5:$A$8,1))</f>
        <v>0.65</v>
      </c>
      <c r="H84" s="7"/>
      <c r="I84" s="8" t="n">
        <f aca="false">INDEX(Reglas!$D$5:$D$8,MATCH(F84,Reglas!$A$5:$A$8,1))</f>
        <v>540</v>
      </c>
      <c r="J84" s="9" t="n">
        <f aca="false">IF(H84="",MAX(F84*(1+G84),I84),F84*(1+H84))</f>
        <v>540</v>
      </c>
      <c r="K84" s="10" t="n">
        <f aca="false">IF(J84&lt;1000,CEILING(J84,10)-1,CEILING(J84,50)-1)</f>
        <v>539</v>
      </c>
      <c r="L84" s="9" t="n">
        <f aca="false">K84-F84</f>
        <v>216.12</v>
      </c>
      <c r="M84" s="11" t="n">
        <f aca="false">IF(K84=0,"",L84/K84)</f>
        <v>0.400964749536178</v>
      </c>
      <c r="N84" s="11" t="n">
        <f aca="false">IF(F84=0,"",K84/F84-1)</f>
        <v>0.669350842418236</v>
      </c>
    </row>
    <row r="85" customFormat="false" ht="15" hidden="false" customHeight="false" outlineLevel="0" collapsed="false">
      <c r="A85" s="4" t="n">
        <v>81</v>
      </c>
      <c r="B85" s="4" t="s">
        <v>16</v>
      </c>
      <c r="C85" s="4" t="s">
        <v>154</v>
      </c>
      <c r="D85" s="4" t="s">
        <v>179</v>
      </c>
      <c r="E85" s="4" t="s">
        <v>180</v>
      </c>
      <c r="F85" s="5" t="n">
        <v>310.33</v>
      </c>
      <c r="G85" s="6" t="n">
        <f aca="false">INDEX(Reglas!$C$5:$C$8,MATCH(F85,Reglas!$A$5:$A$8,1))</f>
        <v>0.65</v>
      </c>
      <c r="H85" s="7"/>
      <c r="I85" s="8" t="n">
        <f aca="false">INDEX(Reglas!$D$5:$D$8,MATCH(F85,Reglas!$A$5:$A$8,1))</f>
        <v>540</v>
      </c>
      <c r="J85" s="9" t="n">
        <f aca="false">IF(H85="",MAX(F85*(1+G85),I85),F85*(1+H85))</f>
        <v>540</v>
      </c>
      <c r="K85" s="10" t="n">
        <f aca="false">IF(J85&lt;1000,CEILING(J85,10)-1,CEILING(J85,50)-1)</f>
        <v>539</v>
      </c>
      <c r="L85" s="9" t="n">
        <f aca="false">K85-F85</f>
        <v>228.67</v>
      </c>
      <c r="M85" s="11" t="n">
        <f aca="false">IF(K85=0,"",L85/K85)</f>
        <v>0.424248608534323</v>
      </c>
      <c r="N85" s="11" t="n">
        <f aca="false">IF(F85=0,"",K85/F85-1)</f>
        <v>0.736860761125254</v>
      </c>
    </row>
    <row r="86" customFormat="false" ht="15" hidden="false" customHeight="false" outlineLevel="0" collapsed="false">
      <c r="A86" s="4" t="n">
        <v>82</v>
      </c>
      <c r="B86" s="4" t="s">
        <v>16</v>
      </c>
      <c r="C86" s="4" t="s">
        <v>154</v>
      </c>
      <c r="D86" s="4" t="s">
        <v>181</v>
      </c>
      <c r="E86" s="4" t="s">
        <v>182</v>
      </c>
      <c r="F86" s="5" t="n">
        <v>321.55</v>
      </c>
      <c r="G86" s="6" t="n">
        <f aca="false">INDEX(Reglas!$C$5:$C$8,MATCH(F86,Reglas!$A$5:$A$8,1))</f>
        <v>0.65</v>
      </c>
      <c r="H86" s="7"/>
      <c r="I86" s="8" t="n">
        <f aca="false">INDEX(Reglas!$D$5:$D$8,MATCH(F86,Reglas!$A$5:$A$8,1))</f>
        <v>540</v>
      </c>
      <c r="J86" s="9" t="n">
        <f aca="false">IF(H86="",MAX(F86*(1+G86),I86),F86*(1+H86))</f>
        <v>540</v>
      </c>
      <c r="K86" s="10" t="n">
        <f aca="false">IF(J86&lt;1000,CEILING(J86,10)-1,CEILING(J86,50)-1)</f>
        <v>539</v>
      </c>
      <c r="L86" s="9" t="n">
        <f aca="false">K86-F86</f>
        <v>217.45</v>
      </c>
      <c r="M86" s="11" t="n">
        <f aca="false">IF(K86=0,"",L86/K86)</f>
        <v>0.403432282003711</v>
      </c>
      <c r="N86" s="11" t="n">
        <f aca="false">IF(F86=0,"",K86/F86-1)</f>
        <v>0.676255636759446</v>
      </c>
    </row>
    <row r="87" customFormat="false" ht="15" hidden="false" customHeight="false" outlineLevel="0" collapsed="false">
      <c r="A87" s="4" t="n">
        <v>83</v>
      </c>
      <c r="B87" s="4" t="s">
        <v>16</v>
      </c>
      <c r="C87" s="4" t="s">
        <v>154</v>
      </c>
      <c r="D87" s="4" t="s">
        <v>183</v>
      </c>
      <c r="E87" s="4" t="s">
        <v>184</v>
      </c>
      <c r="F87" s="5" t="n">
        <v>325.16</v>
      </c>
      <c r="G87" s="6" t="n">
        <f aca="false">INDEX(Reglas!$C$5:$C$8,MATCH(F87,Reglas!$A$5:$A$8,1))</f>
        <v>0.65</v>
      </c>
      <c r="H87" s="7"/>
      <c r="I87" s="8" t="n">
        <f aca="false">INDEX(Reglas!$D$5:$D$8,MATCH(F87,Reglas!$A$5:$A$8,1))</f>
        <v>540</v>
      </c>
      <c r="J87" s="9" t="n">
        <f aca="false">IF(H87="",MAX(F87*(1+G87),I87),F87*(1+H87))</f>
        <v>540</v>
      </c>
      <c r="K87" s="10" t="n">
        <f aca="false">IF(J87&lt;1000,CEILING(J87,10)-1,CEILING(J87,50)-1)</f>
        <v>539</v>
      </c>
      <c r="L87" s="9" t="n">
        <f aca="false">K87-F87</f>
        <v>213.84</v>
      </c>
      <c r="M87" s="11" t="n">
        <f aca="false">IF(K87=0,"",L87/K87)</f>
        <v>0.396734693877551</v>
      </c>
      <c r="N87" s="11" t="n">
        <f aca="false">IF(F87=0,"",K87/F87-1)</f>
        <v>0.657645466847091</v>
      </c>
    </row>
    <row r="88" customFormat="false" ht="15" hidden="false" customHeight="false" outlineLevel="0" collapsed="false">
      <c r="A88" s="4" t="n">
        <v>84</v>
      </c>
      <c r="B88" s="4" t="s">
        <v>16</v>
      </c>
      <c r="C88" s="4" t="s">
        <v>154</v>
      </c>
      <c r="D88" s="4" t="s">
        <v>185</v>
      </c>
      <c r="E88" s="4" t="s">
        <v>186</v>
      </c>
      <c r="F88" s="5" t="n">
        <v>361.92</v>
      </c>
      <c r="G88" s="6" t="n">
        <f aca="false">INDEX(Reglas!$C$5:$C$8,MATCH(F88,Reglas!$A$5:$A$8,1))</f>
        <v>0.65</v>
      </c>
      <c r="H88" s="7"/>
      <c r="I88" s="8" t="n">
        <f aca="false">INDEX(Reglas!$D$5:$D$8,MATCH(F88,Reglas!$A$5:$A$8,1))</f>
        <v>540</v>
      </c>
      <c r="J88" s="9" t="n">
        <f aca="false">IF(H88="",MAX(F88*(1+G88),I88),F88*(1+H88))</f>
        <v>597.168</v>
      </c>
      <c r="K88" s="10" t="n">
        <f aca="false">IF(J88&lt;1000,CEILING(J88,10)-1,CEILING(J88,50)-1)</f>
        <v>599</v>
      </c>
      <c r="L88" s="9" t="n">
        <f aca="false">K88-F88</f>
        <v>237.08</v>
      </c>
      <c r="M88" s="11" t="n">
        <f aca="false">IF(K88=0,"",L88/K88)</f>
        <v>0.395792988313856</v>
      </c>
      <c r="N88" s="11" t="n">
        <f aca="false">IF(F88=0,"",K88/F88-1)</f>
        <v>0.655061892130858</v>
      </c>
    </row>
    <row r="89" customFormat="false" ht="15" hidden="false" customHeight="false" outlineLevel="0" collapsed="false">
      <c r="A89" s="4" t="n">
        <v>85</v>
      </c>
      <c r="B89" s="4" t="s">
        <v>16</v>
      </c>
      <c r="C89" s="4" t="s">
        <v>154</v>
      </c>
      <c r="D89" s="4" t="s">
        <v>187</v>
      </c>
      <c r="E89" s="4" t="s">
        <v>188</v>
      </c>
      <c r="F89" s="5" t="n">
        <v>359.45</v>
      </c>
      <c r="G89" s="6" t="n">
        <f aca="false">INDEX(Reglas!$C$5:$C$8,MATCH(F89,Reglas!$A$5:$A$8,1))</f>
        <v>0.65</v>
      </c>
      <c r="H89" s="7"/>
      <c r="I89" s="8" t="n">
        <f aca="false">INDEX(Reglas!$D$5:$D$8,MATCH(F89,Reglas!$A$5:$A$8,1))</f>
        <v>540</v>
      </c>
      <c r="J89" s="9" t="n">
        <f aca="false">IF(H89="",MAX(F89*(1+G89),I89),F89*(1+H89))</f>
        <v>593.0925</v>
      </c>
      <c r="K89" s="10" t="n">
        <f aca="false">IF(J89&lt;1000,CEILING(J89,10)-1,CEILING(J89,50)-1)</f>
        <v>599</v>
      </c>
      <c r="L89" s="9" t="n">
        <f aca="false">K89-F89</f>
        <v>239.55</v>
      </c>
      <c r="M89" s="11" t="n">
        <f aca="false">IF(K89=0,"",L89/K89)</f>
        <v>0.39991652754591</v>
      </c>
      <c r="N89" s="11" t="n">
        <f aca="false">IF(F89=0,"",K89/F89-1)</f>
        <v>0.666434830991793</v>
      </c>
    </row>
    <row r="90" customFormat="false" ht="15" hidden="false" customHeight="false" outlineLevel="0" collapsed="false">
      <c r="A90" s="4" t="n">
        <v>86</v>
      </c>
      <c r="B90" s="4" t="s">
        <v>16</v>
      </c>
      <c r="C90" s="4" t="s">
        <v>154</v>
      </c>
      <c r="D90" s="4" t="s">
        <v>189</v>
      </c>
      <c r="E90" s="4" t="s">
        <v>190</v>
      </c>
      <c r="F90" s="5" t="n">
        <v>362.45</v>
      </c>
      <c r="G90" s="6" t="n">
        <f aca="false">INDEX(Reglas!$C$5:$C$8,MATCH(F90,Reglas!$A$5:$A$8,1))</f>
        <v>0.65</v>
      </c>
      <c r="H90" s="7"/>
      <c r="I90" s="8" t="n">
        <f aca="false">INDEX(Reglas!$D$5:$D$8,MATCH(F90,Reglas!$A$5:$A$8,1))</f>
        <v>540</v>
      </c>
      <c r="J90" s="9" t="n">
        <f aca="false">IF(H90="",MAX(F90*(1+G90),I90),F90*(1+H90))</f>
        <v>598.0425</v>
      </c>
      <c r="K90" s="10" t="n">
        <f aca="false">IF(J90&lt;1000,CEILING(J90,10)-1,CEILING(J90,50)-1)</f>
        <v>599</v>
      </c>
      <c r="L90" s="9" t="n">
        <f aca="false">K90-F90</f>
        <v>236.55</v>
      </c>
      <c r="M90" s="11" t="n">
        <f aca="false">IF(K90=0,"",L90/K90)</f>
        <v>0.394908180300501</v>
      </c>
      <c r="N90" s="11" t="n">
        <f aca="false">IF(F90=0,"",K90/F90-1)</f>
        <v>0.652641743688785</v>
      </c>
    </row>
    <row r="91" customFormat="false" ht="15" hidden="false" customHeight="false" outlineLevel="0" collapsed="false">
      <c r="A91" s="4" t="n">
        <v>87</v>
      </c>
      <c r="B91" s="4" t="s">
        <v>16</v>
      </c>
      <c r="C91" s="4" t="s">
        <v>154</v>
      </c>
      <c r="D91" s="4" t="s">
        <v>191</v>
      </c>
      <c r="E91" s="4" t="s">
        <v>192</v>
      </c>
      <c r="F91" s="5" t="n">
        <v>357.58</v>
      </c>
      <c r="G91" s="6" t="n">
        <f aca="false">INDEX(Reglas!$C$5:$C$8,MATCH(F91,Reglas!$A$5:$A$8,1))</f>
        <v>0.65</v>
      </c>
      <c r="H91" s="7"/>
      <c r="I91" s="8" t="n">
        <f aca="false">INDEX(Reglas!$D$5:$D$8,MATCH(F91,Reglas!$A$5:$A$8,1))</f>
        <v>540</v>
      </c>
      <c r="J91" s="9" t="n">
        <f aca="false">IF(H91="",MAX(F91*(1+G91),I91),F91*(1+H91))</f>
        <v>590.007</v>
      </c>
      <c r="K91" s="10" t="n">
        <f aca="false">IF(J91&lt;1000,CEILING(J91,10)-1,CEILING(J91,50)-1)</f>
        <v>599</v>
      </c>
      <c r="L91" s="9" t="n">
        <f aca="false">K91-F91</f>
        <v>241.42</v>
      </c>
      <c r="M91" s="11" t="n">
        <f aca="false">IF(K91=0,"",L91/K91)</f>
        <v>0.403038397328881</v>
      </c>
      <c r="N91" s="11" t="n">
        <f aca="false">IF(F91=0,"",K91/F91-1)</f>
        <v>0.675149616868953</v>
      </c>
    </row>
    <row r="92" customFormat="false" ht="15" hidden="false" customHeight="false" outlineLevel="0" collapsed="false">
      <c r="A92" s="4" t="n">
        <v>88</v>
      </c>
      <c r="B92" s="4" t="s">
        <v>16</v>
      </c>
      <c r="C92" s="4" t="s">
        <v>154</v>
      </c>
      <c r="D92" s="4" t="s">
        <v>193</v>
      </c>
      <c r="E92" s="4" t="s">
        <v>194</v>
      </c>
      <c r="F92" s="5" t="n">
        <v>412.95</v>
      </c>
      <c r="G92" s="6" t="n">
        <f aca="false">INDEX(Reglas!$C$5:$C$8,MATCH(F92,Reglas!$A$5:$A$8,1))</f>
        <v>0.65</v>
      </c>
      <c r="H92" s="7"/>
      <c r="I92" s="8" t="n">
        <f aca="false">INDEX(Reglas!$D$5:$D$8,MATCH(F92,Reglas!$A$5:$A$8,1))</f>
        <v>540</v>
      </c>
      <c r="J92" s="9" t="n">
        <f aca="false">IF(H92="",MAX(F92*(1+G92),I92),F92*(1+H92))</f>
        <v>681.3675</v>
      </c>
      <c r="K92" s="10" t="n">
        <f aca="false">IF(J92&lt;1000,CEILING(J92,10)-1,CEILING(J92,50)-1)</f>
        <v>689</v>
      </c>
      <c r="L92" s="9" t="n">
        <f aca="false">K92-F92</f>
        <v>276.05</v>
      </c>
      <c r="M92" s="11" t="n">
        <f aca="false">IF(K92=0,"",L92/K92)</f>
        <v>0.400653120464441</v>
      </c>
      <c r="N92" s="11" t="n">
        <f aca="false">IF(F92=0,"",K92/F92-1)</f>
        <v>0.668482867175203</v>
      </c>
    </row>
    <row r="93" customFormat="false" ht="15" hidden="false" customHeight="false" outlineLevel="0" collapsed="false">
      <c r="A93" s="4" t="n">
        <v>89</v>
      </c>
      <c r="B93" s="4" t="s">
        <v>16</v>
      </c>
      <c r="C93" s="4" t="s">
        <v>154</v>
      </c>
      <c r="D93" s="4" t="s">
        <v>195</v>
      </c>
      <c r="E93" s="4" t="s">
        <v>196</v>
      </c>
      <c r="F93" s="5" t="n">
        <v>435.78</v>
      </c>
      <c r="G93" s="6" t="n">
        <f aca="false">INDEX(Reglas!$C$5:$C$8,MATCH(F93,Reglas!$A$5:$A$8,1))</f>
        <v>0.65</v>
      </c>
      <c r="H93" s="7"/>
      <c r="I93" s="8" t="n">
        <f aca="false">INDEX(Reglas!$D$5:$D$8,MATCH(F93,Reglas!$A$5:$A$8,1))</f>
        <v>540</v>
      </c>
      <c r="J93" s="9" t="n">
        <f aca="false">IF(H93="",MAX(F93*(1+G93),I93),F93*(1+H93))</f>
        <v>719.037</v>
      </c>
      <c r="K93" s="10" t="n">
        <f aca="false">IF(J93&lt;1000,CEILING(J93,10)-1,CEILING(J93,50)-1)</f>
        <v>719</v>
      </c>
      <c r="L93" s="9" t="n">
        <f aca="false">K93-F93</f>
        <v>283.22</v>
      </c>
      <c r="M93" s="11" t="n">
        <f aca="false">IF(K93=0,"",L93/K93)</f>
        <v>0.393908205841447</v>
      </c>
      <c r="N93" s="11" t="n">
        <f aca="false">IF(F93=0,"",K93/F93-1)</f>
        <v>0.649915094772592</v>
      </c>
    </row>
    <row r="94" customFormat="false" ht="15" hidden="false" customHeight="false" outlineLevel="0" collapsed="false">
      <c r="A94" s="4" t="n">
        <v>90</v>
      </c>
      <c r="B94" s="4" t="s">
        <v>16</v>
      </c>
      <c r="C94" s="4" t="s">
        <v>154</v>
      </c>
      <c r="D94" s="4" t="s">
        <v>197</v>
      </c>
      <c r="E94" s="4" t="s">
        <v>198</v>
      </c>
      <c r="F94" s="5" t="n">
        <v>487.77</v>
      </c>
      <c r="G94" s="6" t="n">
        <f aca="false">INDEX(Reglas!$C$5:$C$8,MATCH(F94,Reglas!$A$5:$A$8,1))</f>
        <v>0.65</v>
      </c>
      <c r="H94" s="7"/>
      <c r="I94" s="8" t="n">
        <f aca="false">INDEX(Reglas!$D$5:$D$8,MATCH(F94,Reglas!$A$5:$A$8,1))</f>
        <v>540</v>
      </c>
      <c r="J94" s="9" t="n">
        <f aca="false">IF(H94="",MAX(F94*(1+G94),I94),F94*(1+H94))</f>
        <v>804.8205</v>
      </c>
      <c r="K94" s="10" t="n">
        <f aca="false">IF(J94&lt;1000,CEILING(J94,10)-1,CEILING(J94,50)-1)</f>
        <v>809</v>
      </c>
      <c r="L94" s="9" t="n">
        <f aca="false">K94-F94</f>
        <v>321.23</v>
      </c>
      <c r="M94" s="11" t="n">
        <f aca="false">IF(K94=0,"",L94/K94)</f>
        <v>0.397070457354759</v>
      </c>
      <c r="N94" s="11" t="n">
        <f aca="false">IF(F94=0,"",K94/F94-1)</f>
        <v>0.658568587654017</v>
      </c>
    </row>
    <row r="95" customFormat="false" ht="15" hidden="false" customHeight="false" outlineLevel="0" collapsed="false">
      <c r="A95" s="4" t="n">
        <v>91</v>
      </c>
      <c r="B95" s="4" t="s">
        <v>16</v>
      </c>
      <c r="C95" s="4" t="s">
        <v>154</v>
      </c>
      <c r="D95" s="4" t="s">
        <v>199</v>
      </c>
      <c r="E95" s="4" t="s">
        <v>200</v>
      </c>
      <c r="F95" s="5" t="n">
        <v>492.72</v>
      </c>
      <c r="G95" s="6" t="n">
        <f aca="false">INDEX(Reglas!$C$5:$C$8,MATCH(F95,Reglas!$A$5:$A$8,1))</f>
        <v>0.65</v>
      </c>
      <c r="H95" s="7"/>
      <c r="I95" s="8" t="n">
        <f aca="false">INDEX(Reglas!$D$5:$D$8,MATCH(F95,Reglas!$A$5:$A$8,1))</f>
        <v>540</v>
      </c>
      <c r="J95" s="9" t="n">
        <f aca="false">IF(H95="",MAX(F95*(1+G95),I95),F95*(1+H95))</f>
        <v>812.988</v>
      </c>
      <c r="K95" s="10" t="n">
        <f aca="false">IF(J95&lt;1000,CEILING(J95,10)-1,CEILING(J95,50)-1)</f>
        <v>819</v>
      </c>
      <c r="L95" s="9" t="n">
        <f aca="false">K95-F95</f>
        <v>326.28</v>
      </c>
      <c r="M95" s="11" t="n">
        <f aca="false">IF(K95=0,"",L95/K95)</f>
        <v>0.398388278388278</v>
      </c>
      <c r="N95" s="11" t="n">
        <f aca="false">IF(F95=0,"",K95/F95-1)</f>
        <v>0.662201656113005</v>
      </c>
    </row>
    <row r="96" customFormat="false" ht="15" hidden="false" customHeight="false" outlineLevel="0" collapsed="false">
      <c r="A96" s="4" t="n">
        <v>92</v>
      </c>
      <c r="B96" s="4" t="s">
        <v>16</v>
      </c>
      <c r="C96" s="4" t="s">
        <v>154</v>
      </c>
      <c r="D96" s="4" t="s">
        <v>201</v>
      </c>
      <c r="E96" s="4" t="s">
        <v>202</v>
      </c>
      <c r="F96" s="5" t="n">
        <v>515.85</v>
      </c>
      <c r="G96" s="6" t="n">
        <f aca="false">INDEX(Reglas!$C$5:$C$8,MATCH(F96,Reglas!$A$5:$A$8,1))</f>
        <v>0.65</v>
      </c>
      <c r="H96" s="7"/>
      <c r="I96" s="8" t="n">
        <f aca="false">INDEX(Reglas!$D$5:$D$8,MATCH(F96,Reglas!$A$5:$A$8,1))</f>
        <v>540</v>
      </c>
      <c r="J96" s="9" t="n">
        <f aca="false">IF(H96="",MAX(F96*(1+G96),I96),F96*(1+H96))</f>
        <v>851.1525</v>
      </c>
      <c r="K96" s="10" t="n">
        <f aca="false">IF(J96&lt;1000,CEILING(J96,10)-1,CEILING(J96,50)-1)</f>
        <v>859</v>
      </c>
      <c r="L96" s="9" t="n">
        <f aca="false">K96-F96</f>
        <v>343.15</v>
      </c>
      <c r="M96" s="11" t="n">
        <f aca="false">IF(K96=0,"",L96/K96)</f>
        <v>0.399476135040745</v>
      </c>
      <c r="N96" s="11" t="n">
        <f aca="false">IF(F96=0,"",K96/F96-1)</f>
        <v>0.665212755646021</v>
      </c>
    </row>
    <row r="97" customFormat="false" ht="15" hidden="false" customHeight="false" outlineLevel="0" collapsed="false">
      <c r="A97" s="4" t="n">
        <v>93</v>
      </c>
      <c r="B97" s="4" t="s">
        <v>16</v>
      </c>
      <c r="C97" s="4" t="s">
        <v>154</v>
      </c>
      <c r="D97" s="4" t="s">
        <v>203</v>
      </c>
      <c r="E97" s="4" t="s">
        <v>204</v>
      </c>
      <c r="F97" s="5" t="n">
        <v>533.13</v>
      </c>
      <c r="G97" s="6" t="n">
        <f aca="false">INDEX(Reglas!$C$5:$C$8,MATCH(F97,Reglas!$A$5:$A$8,1))</f>
        <v>0.65</v>
      </c>
      <c r="H97" s="7"/>
      <c r="I97" s="8" t="n">
        <f aca="false">INDEX(Reglas!$D$5:$D$8,MATCH(F97,Reglas!$A$5:$A$8,1))</f>
        <v>540</v>
      </c>
      <c r="J97" s="9" t="n">
        <f aca="false">IF(H97="",MAX(F97*(1+G97),I97),F97*(1+H97))</f>
        <v>879.6645</v>
      </c>
      <c r="K97" s="10" t="n">
        <f aca="false">IF(J97&lt;1000,CEILING(J97,10)-1,CEILING(J97,50)-1)</f>
        <v>879</v>
      </c>
      <c r="L97" s="9" t="n">
        <f aca="false">K97-F97</f>
        <v>345.87</v>
      </c>
      <c r="M97" s="11" t="n">
        <f aca="false">IF(K97=0,"",L97/K97)</f>
        <v>0.393481228668942</v>
      </c>
      <c r="N97" s="11" t="n">
        <f aca="false">IF(F97=0,"",K97/F97-1)</f>
        <v>0.64875358730516</v>
      </c>
    </row>
    <row r="98" customFormat="false" ht="15" hidden="false" customHeight="false" outlineLevel="0" collapsed="false">
      <c r="A98" s="4" t="n">
        <v>94</v>
      </c>
      <c r="B98" s="4" t="s">
        <v>16</v>
      </c>
      <c r="C98" s="4" t="s">
        <v>154</v>
      </c>
      <c r="D98" s="4" t="s">
        <v>205</v>
      </c>
      <c r="E98" s="4" t="s">
        <v>206</v>
      </c>
      <c r="F98" s="5" t="n">
        <v>558.88</v>
      </c>
      <c r="G98" s="6" t="n">
        <f aca="false">INDEX(Reglas!$C$5:$C$8,MATCH(F98,Reglas!$A$5:$A$8,1))</f>
        <v>0.65</v>
      </c>
      <c r="H98" s="7"/>
      <c r="I98" s="8" t="n">
        <f aca="false">INDEX(Reglas!$D$5:$D$8,MATCH(F98,Reglas!$A$5:$A$8,1))</f>
        <v>540</v>
      </c>
      <c r="J98" s="9" t="n">
        <f aca="false">IF(H98="",MAX(F98*(1+G98),I98),F98*(1+H98))</f>
        <v>922.152</v>
      </c>
      <c r="K98" s="10" t="n">
        <f aca="false">IF(J98&lt;1000,CEILING(J98,10)-1,CEILING(J98,50)-1)</f>
        <v>929</v>
      </c>
      <c r="L98" s="9" t="n">
        <f aca="false">K98-F98</f>
        <v>370.12</v>
      </c>
      <c r="M98" s="11" t="n">
        <f aca="false">IF(K98=0,"",L98/K98)</f>
        <v>0.398406889128095</v>
      </c>
      <c r="N98" s="11" t="n">
        <f aca="false">IF(F98=0,"",K98/F98-1)</f>
        <v>0.662253077583739</v>
      </c>
    </row>
    <row r="99" customFormat="false" ht="15" hidden="false" customHeight="false" outlineLevel="0" collapsed="false">
      <c r="A99" s="4" t="n">
        <v>95</v>
      </c>
      <c r="B99" s="4" t="s">
        <v>16</v>
      </c>
      <c r="C99" s="4" t="s">
        <v>154</v>
      </c>
      <c r="D99" s="4" t="s">
        <v>207</v>
      </c>
      <c r="E99" s="4" t="s">
        <v>208</v>
      </c>
      <c r="F99" s="5" t="n">
        <v>591.11</v>
      </c>
      <c r="G99" s="6" t="n">
        <f aca="false">INDEX(Reglas!$C$5:$C$8,MATCH(F99,Reglas!$A$5:$A$8,1))</f>
        <v>0.65</v>
      </c>
      <c r="H99" s="7"/>
      <c r="I99" s="8" t="n">
        <f aca="false">INDEX(Reglas!$D$5:$D$8,MATCH(F99,Reglas!$A$5:$A$8,1))</f>
        <v>540</v>
      </c>
      <c r="J99" s="9" t="n">
        <f aca="false">IF(H99="",MAX(F99*(1+G99),I99),F99*(1+H99))</f>
        <v>975.3315</v>
      </c>
      <c r="K99" s="10" t="n">
        <f aca="false">IF(J99&lt;1000,CEILING(J99,10)-1,CEILING(J99,50)-1)</f>
        <v>979</v>
      </c>
      <c r="L99" s="9" t="n">
        <f aca="false">K99-F99</f>
        <v>387.89</v>
      </c>
      <c r="M99" s="11" t="n">
        <f aca="false">IF(K99=0,"",L99/K99)</f>
        <v>0.396210418794688</v>
      </c>
      <c r="N99" s="11" t="n">
        <f aca="false">IF(F99=0,"",K99/F99-1)</f>
        <v>0.656206120688197</v>
      </c>
    </row>
    <row r="100" customFormat="false" ht="15" hidden="false" customHeight="false" outlineLevel="0" collapsed="false">
      <c r="A100" s="4" t="n">
        <v>96</v>
      </c>
      <c r="B100" s="4" t="s">
        <v>16</v>
      </c>
      <c r="C100" s="4" t="s">
        <v>154</v>
      </c>
      <c r="D100" s="4" t="s">
        <v>209</v>
      </c>
      <c r="E100" s="4" t="s">
        <v>210</v>
      </c>
      <c r="F100" s="5" t="n">
        <v>597.29</v>
      </c>
      <c r="G100" s="6" t="n">
        <f aca="false">INDEX(Reglas!$C$5:$C$8,MATCH(F100,Reglas!$A$5:$A$8,1))</f>
        <v>0.65</v>
      </c>
      <c r="H100" s="7"/>
      <c r="I100" s="8" t="n">
        <f aca="false">INDEX(Reglas!$D$5:$D$8,MATCH(F100,Reglas!$A$5:$A$8,1))</f>
        <v>540</v>
      </c>
      <c r="J100" s="9" t="n">
        <f aca="false">IF(H100="",MAX(F100*(1+G100),I100),F100*(1+H100))</f>
        <v>985.5285</v>
      </c>
      <c r="K100" s="10" t="n">
        <f aca="false">IF(J100&lt;1000,CEILING(J100,10)-1,CEILING(J100,50)-1)</f>
        <v>989</v>
      </c>
      <c r="L100" s="9" t="n">
        <f aca="false">K100-F100</f>
        <v>391.71</v>
      </c>
      <c r="M100" s="11" t="n">
        <f aca="false">IF(K100=0,"",L100/K100)</f>
        <v>0.396066734074823</v>
      </c>
      <c r="N100" s="11" t="n">
        <f aca="false">IF(F100=0,"",K100/F100-1)</f>
        <v>0.655812084582029</v>
      </c>
    </row>
    <row r="101" customFormat="false" ht="15" hidden="false" customHeight="false" outlineLevel="0" collapsed="false">
      <c r="A101" s="4" t="n">
        <v>97</v>
      </c>
      <c r="B101" s="4" t="s">
        <v>16</v>
      </c>
      <c r="C101" s="4" t="s">
        <v>154</v>
      </c>
      <c r="D101" s="4" t="s">
        <v>211</v>
      </c>
      <c r="E101" s="4" t="s">
        <v>212</v>
      </c>
      <c r="F101" s="5" t="n">
        <v>635.38</v>
      </c>
      <c r="G101" s="6" t="n">
        <f aca="false">INDEX(Reglas!$C$5:$C$8,MATCH(F101,Reglas!$A$5:$A$8,1))</f>
        <v>0.65</v>
      </c>
      <c r="H101" s="7"/>
      <c r="I101" s="8" t="n">
        <f aca="false">INDEX(Reglas!$D$5:$D$8,MATCH(F101,Reglas!$A$5:$A$8,1))</f>
        <v>540</v>
      </c>
      <c r="J101" s="9" t="n">
        <f aca="false">IF(H101="",MAX(F101*(1+G101),I101),F101*(1+H101))</f>
        <v>1048.377</v>
      </c>
      <c r="K101" s="10" t="n">
        <f aca="false">IF(J101&lt;1000,CEILING(J101,10)-1,CEILING(J101,50)-1)</f>
        <v>1049</v>
      </c>
      <c r="L101" s="9" t="n">
        <f aca="false">K101-F101</f>
        <v>413.62</v>
      </c>
      <c r="M101" s="11" t="n">
        <f aca="false">IF(K101=0,"",L101/K101)</f>
        <v>0.394299332697807</v>
      </c>
      <c r="N101" s="11" t="n">
        <f aca="false">IF(F101=0,"",K101/F101-1)</f>
        <v>0.650980515596966</v>
      </c>
    </row>
    <row r="102" customFormat="false" ht="15" hidden="false" customHeight="false" outlineLevel="0" collapsed="false">
      <c r="A102" s="4" t="n">
        <v>98</v>
      </c>
      <c r="B102" s="4" t="s">
        <v>16</v>
      </c>
      <c r="C102" s="4" t="s">
        <v>154</v>
      </c>
      <c r="D102" s="4" t="s">
        <v>213</v>
      </c>
      <c r="E102" s="4" t="s">
        <v>214</v>
      </c>
      <c r="F102" s="5" t="n">
        <v>705.08</v>
      </c>
      <c r="G102" s="6" t="n">
        <f aca="false">INDEX(Reglas!$C$5:$C$8,MATCH(F102,Reglas!$A$5:$A$8,1))</f>
        <v>0.55</v>
      </c>
      <c r="H102" s="7"/>
      <c r="I102" s="8" t="n">
        <f aca="false">INDEX(Reglas!$D$5:$D$8,MATCH(F102,Reglas!$A$5:$A$8,1))</f>
        <v>1155</v>
      </c>
      <c r="J102" s="9" t="n">
        <f aca="false">IF(H102="",MAX(F102*(1+G102),I102),F102*(1+H102))</f>
        <v>1155</v>
      </c>
      <c r="K102" s="10" t="n">
        <f aca="false">IF(J102&lt;1000,CEILING(J102,10)-1,CEILING(J102,50)-1)</f>
        <v>1199</v>
      </c>
      <c r="L102" s="9" t="n">
        <f aca="false">K102-F102</f>
        <v>493.92</v>
      </c>
      <c r="M102" s="11" t="n">
        <f aca="false">IF(K102=0,"",L102/K102)</f>
        <v>0.411943286071726</v>
      </c>
      <c r="N102" s="11" t="n">
        <f aca="false">IF(F102=0,"",K102/F102-1)</f>
        <v>0.700516253474783</v>
      </c>
    </row>
    <row r="103" customFormat="false" ht="15" hidden="false" customHeight="false" outlineLevel="0" collapsed="false">
      <c r="A103" s="4" t="n">
        <v>99</v>
      </c>
      <c r="B103" s="4" t="s">
        <v>16</v>
      </c>
      <c r="C103" s="4" t="s">
        <v>154</v>
      </c>
      <c r="D103" s="4" t="s">
        <v>215</v>
      </c>
      <c r="E103" s="4" t="s">
        <v>216</v>
      </c>
      <c r="F103" s="5" t="n">
        <v>821.52</v>
      </c>
      <c r="G103" s="6" t="n">
        <f aca="false">INDEX(Reglas!$C$5:$C$8,MATCH(F103,Reglas!$A$5:$A$8,1))</f>
        <v>0.55</v>
      </c>
      <c r="H103" s="7"/>
      <c r="I103" s="8" t="n">
        <f aca="false">INDEX(Reglas!$D$5:$D$8,MATCH(F103,Reglas!$A$5:$A$8,1))</f>
        <v>1155</v>
      </c>
      <c r="J103" s="9" t="n">
        <f aca="false">IF(H103="",MAX(F103*(1+G103),I103),F103*(1+H103))</f>
        <v>1273.356</v>
      </c>
      <c r="K103" s="10" t="n">
        <f aca="false">IF(J103&lt;1000,CEILING(J103,10)-1,CEILING(J103,50)-1)</f>
        <v>1299</v>
      </c>
      <c r="L103" s="9" t="n">
        <f aca="false">K103-F103</f>
        <v>477.48</v>
      </c>
      <c r="M103" s="11" t="n">
        <f aca="false">IF(K103=0,"",L103/K103)</f>
        <v>0.367575057736721</v>
      </c>
      <c r="N103" s="11" t="n">
        <f aca="false">IF(F103=0,"",K103/F103-1)</f>
        <v>0.581215308209173</v>
      </c>
    </row>
    <row r="104" customFormat="false" ht="15" hidden="false" customHeight="false" outlineLevel="0" collapsed="false">
      <c r="A104" s="4" t="n">
        <v>100</v>
      </c>
      <c r="B104" s="4" t="s">
        <v>16</v>
      </c>
      <c r="C104" s="4" t="s">
        <v>154</v>
      </c>
      <c r="D104" s="4" t="s">
        <v>217</v>
      </c>
      <c r="E104" s="4" t="s">
        <v>218</v>
      </c>
      <c r="F104" s="5" t="n">
        <v>881.32</v>
      </c>
      <c r="G104" s="6" t="n">
        <f aca="false">INDEX(Reglas!$C$5:$C$8,MATCH(F104,Reglas!$A$5:$A$8,1))</f>
        <v>0.55</v>
      </c>
      <c r="H104" s="7"/>
      <c r="I104" s="8" t="n">
        <f aca="false">INDEX(Reglas!$D$5:$D$8,MATCH(F104,Reglas!$A$5:$A$8,1))</f>
        <v>1155</v>
      </c>
      <c r="J104" s="9" t="n">
        <f aca="false">IF(H104="",MAX(F104*(1+G104),I104),F104*(1+H104))</f>
        <v>1366.046</v>
      </c>
      <c r="K104" s="10" t="n">
        <f aca="false">IF(J104&lt;1000,CEILING(J104,10)-1,CEILING(J104,50)-1)</f>
        <v>1399</v>
      </c>
      <c r="L104" s="9" t="n">
        <f aca="false">K104-F104</f>
        <v>517.68</v>
      </c>
      <c r="M104" s="11" t="n">
        <f aca="false">IF(K104=0,"",L104/K104)</f>
        <v>0.370035739814153</v>
      </c>
      <c r="N104" s="11" t="n">
        <f aca="false">IF(F104=0,"",K104/F104-1)</f>
        <v>0.587391639813008</v>
      </c>
    </row>
    <row r="105" customFormat="false" ht="15" hidden="false" customHeight="false" outlineLevel="0" collapsed="false">
      <c r="A105" s="4" t="n">
        <v>101</v>
      </c>
      <c r="B105" s="4" t="s">
        <v>16</v>
      </c>
      <c r="C105" s="4" t="s">
        <v>219</v>
      </c>
      <c r="D105" s="4" t="s">
        <v>220</v>
      </c>
      <c r="E105" s="4" t="s">
        <v>221</v>
      </c>
      <c r="F105" s="5" t="n">
        <v>150.28</v>
      </c>
      <c r="G105" s="6" t="n">
        <f aca="false">INDEX(Reglas!$C$5:$C$8,MATCH(F105,Reglas!$A$5:$A$8,1))</f>
        <v>0.8</v>
      </c>
      <c r="H105" s="7"/>
      <c r="I105" s="8" t="n">
        <f aca="false">INDEX(Reglas!$D$5:$D$8,MATCH(F105,Reglas!$A$5:$A$8,1))</f>
        <v>0</v>
      </c>
      <c r="J105" s="9" t="n">
        <f aca="false">IF(H105="",MAX(F105*(1+G105),I105),F105*(1+H105))</f>
        <v>270.504</v>
      </c>
      <c r="K105" s="10" t="n">
        <f aca="false">IF(J105&lt;1000,CEILING(J105,10)-1,CEILING(J105,50)-1)</f>
        <v>279</v>
      </c>
      <c r="L105" s="9" t="n">
        <f aca="false">K105-F105</f>
        <v>128.72</v>
      </c>
      <c r="M105" s="11" t="n">
        <f aca="false">IF(K105=0,"",L105/K105)</f>
        <v>0.461362007168459</v>
      </c>
      <c r="N105" s="11" t="n">
        <f aca="false">IF(F105=0,"",K105/F105-1)</f>
        <v>0.856534468991216</v>
      </c>
    </row>
    <row r="106" customFormat="false" ht="15" hidden="false" customHeight="false" outlineLevel="0" collapsed="false">
      <c r="A106" s="4" t="n">
        <v>102</v>
      </c>
      <c r="B106" s="4" t="s">
        <v>16</v>
      </c>
      <c r="C106" s="4" t="s">
        <v>219</v>
      </c>
      <c r="D106" s="4" t="s">
        <v>222</v>
      </c>
      <c r="E106" s="4" t="s">
        <v>223</v>
      </c>
      <c r="F106" s="5" t="n">
        <v>174.54</v>
      </c>
      <c r="G106" s="6" t="n">
        <f aca="false">INDEX(Reglas!$C$5:$C$8,MATCH(F106,Reglas!$A$5:$A$8,1))</f>
        <v>0.8</v>
      </c>
      <c r="H106" s="7"/>
      <c r="I106" s="8" t="n">
        <f aca="false">INDEX(Reglas!$D$5:$D$8,MATCH(F106,Reglas!$A$5:$A$8,1))</f>
        <v>0</v>
      </c>
      <c r="J106" s="9" t="n">
        <f aca="false">IF(H106="",MAX(F106*(1+G106),I106),F106*(1+H106))</f>
        <v>314.172</v>
      </c>
      <c r="K106" s="10" t="n">
        <f aca="false">IF(J106&lt;1000,CEILING(J106,10)-1,CEILING(J106,50)-1)</f>
        <v>319</v>
      </c>
      <c r="L106" s="9" t="n">
        <f aca="false">K106-F106</f>
        <v>144.46</v>
      </c>
      <c r="M106" s="11" t="n">
        <f aca="false">IF(K106=0,"",L106/K106)</f>
        <v>0.452852664576803</v>
      </c>
      <c r="N106" s="11" t="n">
        <f aca="false">IF(F106=0,"",K106/F106-1)</f>
        <v>0.827661281081701</v>
      </c>
    </row>
    <row r="107" customFormat="false" ht="15" hidden="false" customHeight="false" outlineLevel="0" collapsed="false">
      <c r="A107" s="4" t="n">
        <v>103</v>
      </c>
      <c r="B107" s="4" t="s">
        <v>16</v>
      </c>
      <c r="C107" s="4" t="s">
        <v>219</v>
      </c>
      <c r="D107" s="4" t="s">
        <v>224</v>
      </c>
      <c r="E107" s="4" t="s">
        <v>225</v>
      </c>
      <c r="F107" s="5" t="n">
        <v>249.07</v>
      </c>
      <c r="G107" s="6" t="n">
        <f aca="false">INDEX(Reglas!$C$5:$C$8,MATCH(F107,Reglas!$A$5:$A$8,1))</f>
        <v>0.8</v>
      </c>
      <c r="H107" s="7"/>
      <c r="I107" s="8" t="n">
        <f aca="false">INDEX(Reglas!$D$5:$D$8,MATCH(F107,Reglas!$A$5:$A$8,1))</f>
        <v>0</v>
      </c>
      <c r="J107" s="9" t="n">
        <f aca="false">IF(H107="",MAX(F107*(1+G107),I107),F107*(1+H107))</f>
        <v>448.326</v>
      </c>
      <c r="K107" s="10" t="n">
        <f aca="false">IF(J107&lt;1000,CEILING(J107,10)-1,CEILING(J107,50)-1)</f>
        <v>449</v>
      </c>
      <c r="L107" s="9" t="n">
        <f aca="false">K107-F107</f>
        <v>199.93</v>
      </c>
      <c r="M107" s="11" t="n">
        <f aca="false">IF(K107=0,"",L107/K107)</f>
        <v>0.445278396436526</v>
      </c>
      <c r="N107" s="11" t="n">
        <f aca="false">IF(F107=0,"",K107/F107-1)</f>
        <v>0.802706066567632</v>
      </c>
    </row>
    <row r="108" customFormat="false" ht="15" hidden="false" customHeight="false" outlineLevel="0" collapsed="false">
      <c r="A108" s="4" t="n">
        <v>104</v>
      </c>
      <c r="B108" s="4" t="s">
        <v>16</v>
      </c>
      <c r="C108" s="4" t="s">
        <v>219</v>
      </c>
      <c r="D108" s="4" t="s">
        <v>226</v>
      </c>
      <c r="E108" s="4" t="s">
        <v>227</v>
      </c>
      <c r="F108" s="5" t="n">
        <v>311.17</v>
      </c>
      <c r="G108" s="6" t="n">
        <f aca="false">INDEX(Reglas!$C$5:$C$8,MATCH(F108,Reglas!$A$5:$A$8,1))</f>
        <v>0.65</v>
      </c>
      <c r="H108" s="7"/>
      <c r="I108" s="8" t="n">
        <f aca="false">INDEX(Reglas!$D$5:$D$8,MATCH(F108,Reglas!$A$5:$A$8,1))</f>
        <v>540</v>
      </c>
      <c r="J108" s="9" t="n">
        <f aca="false">IF(H108="",MAX(F108*(1+G108),I108),F108*(1+H108))</f>
        <v>540</v>
      </c>
      <c r="K108" s="10" t="n">
        <f aca="false">IF(J108&lt;1000,CEILING(J108,10)-1,CEILING(J108,50)-1)</f>
        <v>539</v>
      </c>
      <c r="L108" s="9" t="n">
        <f aca="false">K108-F108</f>
        <v>227.83</v>
      </c>
      <c r="M108" s="11" t="n">
        <f aca="false">IF(K108=0,"",L108/K108)</f>
        <v>0.422690166975881</v>
      </c>
      <c r="N108" s="11" t="n">
        <f aca="false">IF(F108=0,"",K108/F108-1)</f>
        <v>0.732172124562136</v>
      </c>
    </row>
    <row r="109" customFormat="false" ht="15" hidden="false" customHeight="false" outlineLevel="0" collapsed="false">
      <c r="A109" s="4" t="n">
        <v>105</v>
      </c>
      <c r="B109" s="4" t="s">
        <v>16</v>
      </c>
      <c r="C109" s="4" t="s">
        <v>219</v>
      </c>
      <c r="D109" s="4" t="s">
        <v>228</v>
      </c>
      <c r="E109" s="4" t="s">
        <v>229</v>
      </c>
      <c r="F109" s="5" t="n">
        <v>319.2</v>
      </c>
      <c r="G109" s="6" t="n">
        <f aca="false">INDEX(Reglas!$C$5:$C$8,MATCH(F109,Reglas!$A$5:$A$8,1))</f>
        <v>0.65</v>
      </c>
      <c r="H109" s="7"/>
      <c r="I109" s="8" t="n">
        <f aca="false">INDEX(Reglas!$D$5:$D$8,MATCH(F109,Reglas!$A$5:$A$8,1))</f>
        <v>540</v>
      </c>
      <c r="J109" s="9" t="n">
        <f aca="false">IF(H109="",MAX(F109*(1+G109),I109),F109*(1+H109))</f>
        <v>540</v>
      </c>
      <c r="K109" s="10" t="n">
        <f aca="false">IF(J109&lt;1000,CEILING(J109,10)-1,CEILING(J109,50)-1)</f>
        <v>539</v>
      </c>
      <c r="L109" s="9" t="n">
        <f aca="false">K109-F109</f>
        <v>219.8</v>
      </c>
      <c r="M109" s="11" t="n">
        <f aca="false">IF(K109=0,"",L109/K109)</f>
        <v>0.407792207792208</v>
      </c>
      <c r="N109" s="11" t="n">
        <f aca="false">IF(F109=0,"",K109/F109-1)</f>
        <v>0.68859649122807</v>
      </c>
    </row>
    <row r="110" customFormat="false" ht="15" hidden="false" customHeight="false" outlineLevel="0" collapsed="false">
      <c r="A110" s="4" t="n">
        <v>106</v>
      </c>
      <c r="B110" s="4" t="s">
        <v>16</v>
      </c>
      <c r="C110" s="4" t="s">
        <v>219</v>
      </c>
      <c r="D110" s="4" t="s">
        <v>230</v>
      </c>
      <c r="E110" s="4" t="s">
        <v>231</v>
      </c>
      <c r="F110" s="5" t="n">
        <v>324.7</v>
      </c>
      <c r="G110" s="6" t="n">
        <f aca="false">INDEX(Reglas!$C$5:$C$8,MATCH(F110,Reglas!$A$5:$A$8,1))</f>
        <v>0.65</v>
      </c>
      <c r="H110" s="7"/>
      <c r="I110" s="8" t="n">
        <f aca="false">INDEX(Reglas!$D$5:$D$8,MATCH(F110,Reglas!$A$5:$A$8,1))</f>
        <v>540</v>
      </c>
      <c r="J110" s="9" t="n">
        <f aca="false">IF(H110="",MAX(F110*(1+G110),I110),F110*(1+H110))</f>
        <v>540</v>
      </c>
      <c r="K110" s="10" t="n">
        <f aca="false">IF(J110&lt;1000,CEILING(J110,10)-1,CEILING(J110,50)-1)</f>
        <v>539</v>
      </c>
      <c r="L110" s="9" t="n">
        <f aca="false">K110-F110</f>
        <v>214.3</v>
      </c>
      <c r="M110" s="11" t="n">
        <f aca="false">IF(K110=0,"",L110/K110)</f>
        <v>0.397588126159555</v>
      </c>
      <c r="N110" s="11" t="n">
        <f aca="false">IF(F110=0,"",K110/F110-1)</f>
        <v>0.659993840468125</v>
      </c>
    </row>
    <row r="111" customFormat="false" ht="15" hidden="false" customHeight="false" outlineLevel="0" collapsed="false">
      <c r="A111" s="4" t="n">
        <v>107</v>
      </c>
      <c r="B111" s="4" t="s">
        <v>16</v>
      </c>
      <c r="C111" s="4" t="s">
        <v>219</v>
      </c>
      <c r="D111" s="4" t="s">
        <v>232</v>
      </c>
      <c r="E111" s="4" t="s">
        <v>233</v>
      </c>
      <c r="F111" s="5" t="n">
        <v>331.81</v>
      </c>
      <c r="G111" s="6" t="n">
        <f aca="false">INDEX(Reglas!$C$5:$C$8,MATCH(F111,Reglas!$A$5:$A$8,1))</f>
        <v>0.65</v>
      </c>
      <c r="H111" s="7"/>
      <c r="I111" s="8" t="n">
        <f aca="false">INDEX(Reglas!$D$5:$D$8,MATCH(F111,Reglas!$A$5:$A$8,1))</f>
        <v>540</v>
      </c>
      <c r="J111" s="9" t="n">
        <f aca="false">IF(H111="",MAX(F111*(1+G111),I111),F111*(1+H111))</f>
        <v>547.4865</v>
      </c>
      <c r="K111" s="10" t="n">
        <f aca="false">IF(J111&lt;1000,CEILING(J111,10)-1,CEILING(J111,50)-1)</f>
        <v>549</v>
      </c>
      <c r="L111" s="9" t="n">
        <f aca="false">K111-F111</f>
        <v>217.19</v>
      </c>
      <c r="M111" s="11" t="n">
        <f aca="false">IF(K111=0,"",L111/K111)</f>
        <v>0.395610200364299</v>
      </c>
      <c r="N111" s="11" t="n">
        <f aca="false">IF(F111=0,"",K111/F111-1)</f>
        <v>0.654561345348242</v>
      </c>
    </row>
    <row r="112" customFormat="false" ht="15" hidden="false" customHeight="false" outlineLevel="0" collapsed="false">
      <c r="A112" s="4" t="n">
        <v>108</v>
      </c>
      <c r="B112" s="4" t="s">
        <v>16</v>
      </c>
      <c r="C112" s="4" t="s">
        <v>219</v>
      </c>
      <c r="D112" s="4" t="s">
        <v>234</v>
      </c>
      <c r="E112" s="4" t="s">
        <v>235</v>
      </c>
      <c r="F112" s="5" t="n">
        <v>388.29</v>
      </c>
      <c r="G112" s="6" t="n">
        <f aca="false">INDEX(Reglas!$C$5:$C$8,MATCH(F112,Reglas!$A$5:$A$8,1))</f>
        <v>0.65</v>
      </c>
      <c r="H112" s="7"/>
      <c r="I112" s="8" t="n">
        <f aca="false">INDEX(Reglas!$D$5:$D$8,MATCH(F112,Reglas!$A$5:$A$8,1))</f>
        <v>540</v>
      </c>
      <c r="J112" s="9" t="n">
        <f aca="false">IF(H112="",MAX(F112*(1+G112),I112),F112*(1+H112))</f>
        <v>640.6785</v>
      </c>
      <c r="K112" s="10" t="n">
        <f aca="false">IF(J112&lt;1000,CEILING(J112,10)-1,CEILING(J112,50)-1)</f>
        <v>649</v>
      </c>
      <c r="L112" s="9" t="n">
        <f aca="false">K112-F112</f>
        <v>260.71</v>
      </c>
      <c r="M112" s="11" t="n">
        <f aca="false">IF(K112=0,"",L112/K112)</f>
        <v>0.40171032357473</v>
      </c>
      <c r="N112" s="11" t="n">
        <f aca="false">IF(F112=0,"",K112/F112-1)</f>
        <v>0.671431146823251</v>
      </c>
    </row>
    <row r="113" customFormat="false" ht="15" hidden="false" customHeight="false" outlineLevel="0" collapsed="false">
      <c r="A113" s="4" t="n">
        <v>109</v>
      </c>
      <c r="B113" s="4" t="s">
        <v>16</v>
      </c>
      <c r="C113" s="4" t="s">
        <v>219</v>
      </c>
      <c r="D113" s="4" t="s">
        <v>236</v>
      </c>
      <c r="E113" s="4" t="s">
        <v>237</v>
      </c>
      <c r="F113" s="5" t="n">
        <v>401.75</v>
      </c>
      <c r="G113" s="6" t="n">
        <f aca="false">INDEX(Reglas!$C$5:$C$8,MATCH(F113,Reglas!$A$5:$A$8,1))</f>
        <v>0.65</v>
      </c>
      <c r="H113" s="7"/>
      <c r="I113" s="8" t="n">
        <f aca="false">INDEX(Reglas!$D$5:$D$8,MATCH(F113,Reglas!$A$5:$A$8,1))</f>
        <v>540</v>
      </c>
      <c r="J113" s="9" t="n">
        <f aca="false">IF(H113="",MAX(F113*(1+G113),I113),F113*(1+H113))</f>
        <v>662.8875</v>
      </c>
      <c r="K113" s="10" t="n">
        <f aca="false">IF(J113&lt;1000,CEILING(J113,10)-1,CEILING(J113,50)-1)</f>
        <v>669</v>
      </c>
      <c r="L113" s="9" t="n">
        <f aca="false">K113-F113</f>
        <v>267.25</v>
      </c>
      <c r="M113" s="11" t="n">
        <f aca="false">IF(K113=0,"",L113/K113)</f>
        <v>0.399476831091181</v>
      </c>
      <c r="N113" s="11" t="n">
        <f aca="false">IF(F113=0,"",K113/F113-1)</f>
        <v>0.665214685749844</v>
      </c>
    </row>
    <row r="114" customFormat="false" ht="15" hidden="false" customHeight="false" outlineLevel="0" collapsed="false">
      <c r="A114" s="4" t="n">
        <v>110</v>
      </c>
      <c r="B114" s="4" t="s">
        <v>16</v>
      </c>
      <c r="C114" s="4" t="s">
        <v>219</v>
      </c>
      <c r="D114" s="4" t="s">
        <v>238</v>
      </c>
      <c r="E114" s="4" t="s">
        <v>239</v>
      </c>
      <c r="F114" s="5" t="n">
        <v>420</v>
      </c>
      <c r="G114" s="6" t="n">
        <f aca="false">INDEX(Reglas!$C$5:$C$8,MATCH(F114,Reglas!$A$5:$A$8,1))</f>
        <v>0.65</v>
      </c>
      <c r="H114" s="7"/>
      <c r="I114" s="8" t="n">
        <f aca="false">INDEX(Reglas!$D$5:$D$8,MATCH(F114,Reglas!$A$5:$A$8,1))</f>
        <v>540</v>
      </c>
      <c r="J114" s="9" t="n">
        <f aca="false">IF(H114="",MAX(F114*(1+G114),I114),F114*(1+H114))</f>
        <v>693</v>
      </c>
      <c r="K114" s="10" t="n">
        <f aca="false">IF(J114&lt;1000,CEILING(J114,10)-1,CEILING(J114,50)-1)</f>
        <v>699</v>
      </c>
      <c r="L114" s="9" t="n">
        <f aca="false">K114-F114</f>
        <v>279</v>
      </c>
      <c r="M114" s="11" t="n">
        <f aca="false">IF(K114=0,"",L114/K114)</f>
        <v>0.399141630901288</v>
      </c>
      <c r="N114" s="11" t="n">
        <f aca="false">IF(F114=0,"",K114/F114-1)</f>
        <v>0.664285714285714</v>
      </c>
    </row>
    <row r="115" customFormat="false" ht="15" hidden="false" customHeight="false" outlineLevel="0" collapsed="false">
      <c r="A115" s="4" t="n">
        <v>111</v>
      </c>
      <c r="B115" s="4" t="s">
        <v>16</v>
      </c>
      <c r="C115" s="4" t="s">
        <v>219</v>
      </c>
      <c r="D115" s="4" t="s">
        <v>240</v>
      </c>
      <c r="E115" s="4" t="s">
        <v>241</v>
      </c>
      <c r="F115" s="5" t="n">
        <v>422.36</v>
      </c>
      <c r="G115" s="6" t="n">
        <f aca="false">INDEX(Reglas!$C$5:$C$8,MATCH(F115,Reglas!$A$5:$A$8,1))</f>
        <v>0.65</v>
      </c>
      <c r="H115" s="7"/>
      <c r="I115" s="8" t="n">
        <f aca="false">INDEX(Reglas!$D$5:$D$8,MATCH(F115,Reglas!$A$5:$A$8,1))</f>
        <v>540</v>
      </c>
      <c r="J115" s="9" t="n">
        <f aca="false">IF(H115="",MAX(F115*(1+G115),I115),F115*(1+H115))</f>
        <v>696.894</v>
      </c>
      <c r="K115" s="10" t="n">
        <f aca="false">IF(J115&lt;1000,CEILING(J115,10)-1,CEILING(J115,50)-1)</f>
        <v>699</v>
      </c>
      <c r="L115" s="9" t="n">
        <f aca="false">K115-F115</f>
        <v>276.64</v>
      </c>
      <c r="M115" s="11" t="n">
        <f aca="false">IF(K115=0,"",L115/K115)</f>
        <v>0.395765379113019</v>
      </c>
      <c r="N115" s="11" t="n">
        <f aca="false">IF(F115=0,"",K115/F115-1)</f>
        <v>0.654986267638981</v>
      </c>
    </row>
    <row r="116" customFormat="false" ht="15" hidden="false" customHeight="false" outlineLevel="0" collapsed="false">
      <c r="A116" s="4" t="n">
        <v>112</v>
      </c>
      <c r="B116" s="4" t="s">
        <v>16</v>
      </c>
      <c r="C116" s="4" t="s">
        <v>219</v>
      </c>
      <c r="D116" s="4" t="s">
        <v>242</v>
      </c>
      <c r="E116" s="4" t="s">
        <v>243</v>
      </c>
      <c r="F116" s="5" t="n">
        <v>420.66</v>
      </c>
      <c r="G116" s="6" t="n">
        <f aca="false">INDEX(Reglas!$C$5:$C$8,MATCH(F116,Reglas!$A$5:$A$8,1))</f>
        <v>0.65</v>
      </c>
      <c r="H116" s="7"/>
      <c r="I116" s="8" t="n">
        <f aca="false">INDEX(Reglas!$D$5:$D$8,MATCH(F116,Reglas!$A$5:$A$8,1))</f>
        <v>540</v>
      </c>
      <c r="J116" s="9" t="n">
        <f aca="false">IF(H116="",MAX(F116*(1+G116),I116),F116*(1+H116))</f>
        <v>694.089</v>
      </c>
      <c r="K116" s="10" t="n">
        <f aca="false">IF(J116&lt;1000,CEILING(J116,10)-1,CEILING(J116,50)-1)</f>
        <v>699</v>
      </c>
      <c r="L116" s="9" t="n">
        <f aca="false">K116-F116</f>
        <v>278.34</v>
      </c>
      <c r="M116" s="11" t="n">
        <f aca="false">IF(K116=0,"",L116/K116)</f>
        <v>0.398197424892704</v>
      </c>
      <c r="N116" s="11" t="n">
        <f aca="false">IF(F116=0,"",K116/F116-1)</f>
        <v>0.661674511481957</v>
      </c>
    </row>
    <row r="117" customFormat="false" ht="15" hidden="false" customHeight="false" outlineLevel="0" collapsed="false">
      <c r="A117" s="4" t="n">
        <v>113</v>
      </c>
      <c r="B117" s="4" t="s">
        <v>16</v>
      </c>
      <c r="C117" s="4" t="s">
        <v>219</v>
      </c>
      <c r="D117" s="4" t="s">
        <v>244</v>
      </c>
      <c r="E117" s="4" t="s">
        <v>245</v>
      </c>
      <c r="F117" s="5" t="n">
        <v>424.95</v>
      </c>
      <c r="G117" s="6" t="n">
        <f aca="false">INDEX(Reglas!$C$5:$C$8,MATCH(F117,Reglas!$A$5:$A$8,1))</f>
        <v>0.65</v>
      </c>
      <c r="H117" s="7"/>
      <c r="I117" s="8" t="n">
        <f aca="false">INDEX(Reglas!$D$5:$D$8,MATCH(F117,Reglas!$A$5:$A$8,1))</f>
        <v>540</v>
      </c>
      <c r="J117" s="9" t="n">
        <f aca="false">IF(H117="",MAX(F117*(1+G117),I117),F117*(1+H117))</f>
        <v>701.1675</v>
      </c>
      <c r="K117" s="10" t="n">
        <f aca="false">IF(J117&lt;1000,CEILING(J117,10)-1,CEILING(J117,50)-1)</f>
        <v>709</v>
      </c>
      <c r="L117" s="9" t="n">
        <f aca="false">K117-F117</f>
        <v>284.05</v>
      </c>
      <c r="M117" s="11" t="n">
        <f aca="false">IF(K117=0,"",L117/K117)</f>
        <v>0.400634696755994</v>
      </c>
      <c r="N117" s="11" t="n">
        <f aca="false">IF(F117=0,"",K117/F117-1)</f>
        <v>0.668431580185904</v>
      </c>
    </row>
    <row r="118" customFormat="false" ht="15" hidden="false" customHeight="false" outlineLevel="0" collapsed="false">
      <c r="A118" s="4" t="n">
        <v>114</v>
      </c>
      <c r="B118" s="4" t="s">
        <v>16</v>
      </c>
      <c r="C118" s="4" t="s">
        <v>219</v>
      </c>
      <c r="D118" s="4" t="s">
        <v>246</v>
      </c>
      <c r="E118" s="4" t="s">
        <v>247</v>
      </c>
      <c r="F118" s="5" t="n">
        <v>427.15</v>
      </c>
      <c r="G118" s="6" t="n">
        <f aca="false">INDEX(Reglas!$C$5:$C$8,MATCH(F118,Reglas!$A$5:$A$8,1))</f>
        <v>0.65</v>
      </c>
      <c r="H118" s="7"/>
      <c r="I118" s="8" t="n">
        <f aca="false">INDEX(Reglas!$D$5:$D$8,MATCH(F118,Reglas!$A$5:$A$8,1))</f>
        <v>540</v>
      </c>
      <c r="J118" s="9" t="n">
        <f aca="false">IF(H118="",MAX(F118*(1+G118),I118),F118*(1+H118))</f>
        <v>704.7975</v>
      </c>
      <c r="K118" s="10" t="n">
        <f aca="false">IF(J118&lt;1000,CEILING(J118,10)-1,CEILING(J118,50)-1)</f>
        <v>709</v>
      </c>
      <c r="L118" s="9" t="n">
        <f aca="false">K118-F118</f>
        <v>281.85</v>
      </c>
      <c r="M118" s="11" t="n">
        <f aca="false">IF(K118=0,"",L118/K118)</f>
        <v>0.3975317348378</v>
      </c>
      <c r="N118" s="11" t="n">
        <f aca="false">IF(F118=0,"",K118/F118-1)</f>
        <v>0.659838464239729</v>
      </c>
    </row>
    <row r="119" customFormat="false" ht="15" hidden="false" customHeight="false" outlineLevel="0" collapsed="false">
      <c r="A119" s="4" t="n">
        <v>115</v>
      </c>
      <c r="B119" s="4" t="s">
        <v>16</v>
      </c>
      <c r="C119" s="4" t="s">
        <v>219</v>
      </c>
      <c r="D119" s="4" t="s">
        <v>248</v>
      </c>
      <c r="E119" s="4" t="s">
        <v>249</v>
      </c>
      <c r="F119" s="5" t="n">
        <v>532.85</v>
      </c>
      <c r="G119" s="6" t="n">
        <f aca="false">INDEX(Reglas!$C$5:$C$8,MATCH(F119,Reglas!$A$5:$A$8,1))</f>
        <v>0.65</v>
      </c>
      <c r="H119" s="7"/>
      <c r="I119" s="8" t="n">
        <f aca="false">INDEX(Reglas!$D$5:$D$8,MATCH(F119,Reglas!$A$5:$A$8,1))</f>
        <v>540</v>
      </c>
      <c r="J119" s="9" t="n">
        <f aca="false">IF(H119="",MAX(F119*(1+G119),I119),F119*(1+H119))</f>
        <v>879.2025</v>
      </c>
      <c r="K119" s="10" t="n">
        <f aca="false">IF(J119&lt;1000,CEILING(J119,10)-1,CEILING(J119,50)-1)</f>
        <v>879</v>
      </c>
      <c r="L119" s="9" t="n">
        <f aca="false">K119-F119</f>
        <v>346.15</v>
      </c>
      <c r="M119" s="11" t="n">
        <f aca="false">IF(K119=0,"",L119/K119)</f>
        <v>0.393799772468714</v>
      </c>
      <c r="N119" s="11" t="n">
        <f aca="false">IF(F119=0,"",K119/F119-1)</f>
        <v>0.649619968096087</v>
      </c>
    </row>
    <row r="120" customFormat="false" ht="15" hidden="false" customHeight="false" outlineLevel="0" collapsed="false">
      <c r="A120" s="4" t="n">
        <v>116</v>
      </c>
      <c r="B120" s="4" t="s">
        <v>16</v>
      </c>
      <c r="C120" s="4" t="s">
        <v>219</v>
      </c>
      <c r="D120" s="4" t="s">
        <v>250</v>
      </c>
      <c r="E120" s="4" t="s">
        <v>251</v>
      </c>
      <c r="F120" s="5" t="n">
        <v>539.89</v>
      </c>
      <c r="G120" s="6" t="n">
        <f aca="false">INDEX(Reglas!$C$5:$C$8,MATCH(F120,Reglas!$A$5:$A$8,1))</f>
        <v>0.65</v>
      </c>
      <c r="H120" s="7"/>
      <c r="I120" s="8" t="n">
        <f aca="false">INDEX(Reglas!$D$5:$D$8,MATCH(F120,Reglas!$A$5:$A$8,1))</f>
        <v>540</v>
      </c>
      <c r="J120" s="9" t="n">
        <f aca="false">IF(H120="",MAX(F120*(1+G120),I120),F120*(1+H120))</f>
        <v>890.8185</v>
      </c>
      <c r="K120" s="10" t="n">
        <f aca="false">IF(J120&lt;1000,CEILING(J120,10)-1,CEILING(J120,50)-1)</f>
        <v>899</v>
      </c>
      <c r="L120" s="9" t="n">
        <f aca="false">K120-F120</f>
        <v>359.11</v>
      </c>
      <c r="M120" s="11" t="n">
        <f aca="false">IF(K120=0,"",L120/K120)</f>
        <v>0.399454949944383</v>
      </c>
      <c r="N120" s="11" t="n">
        <f aca="false">IF(F120=0,"",K120/F120-1)</f>
        <v>0.66515401285447</v>
      </c>
    </row>
    <row r="121" customFormat="false" ht="15" hidden="false" customHeight="false" outlineLevel="0" collapsed="false">
      <c r="A121" s="4" t="n">
        <v>117</v>
      </c>
      <c r="B121" s="4" t="s">
        <v>16</v>
      </c>
      <c r="C121" s="4" t="s">
        <v>252</v>
      </c>
      <c r="D121" s="4" t="s">
        <v>253</v>
      </c>
      <c r="E121" s="4" t="s">
        <v>254</v>
      </c>
      <c r="F121" s="5" t="n">
        <v>377.88</v>
      </c>
      <c r="G121" s="6" t="n">
        <f aca="false">INDEX(Reglas!$C$5:$C$8,MATCH(F121,Reglas!$A$5:$A$8,1))</f>
        <v>0.65</v>
      </c>
      <c r="H121" s="7"/>
      <c r="I121" s="8" t="n">
        <f aca="false">INDEX(Reglas!$D$5:$D$8,MATCH(F121,Reglas!$A$5:$A$8,1))</f>
        <v>540</v>
      </c>
      <c r="J121" s="9" t="n">
        <f aca="false">IF(H121="",MAX(F121*(1+G121),I121),F121*(1+H121))</f>
        <v>623.502</v>
      </c>
      <c r="K121" s="10" t="n">
        <f aca="false">IF(J121&lt;1000,CEILING(J121,10)-1,CEILING(J121,50)-1)</f>
        <v>629</v>
      </c>
      <c r="L121" s="9" t="n">
        <f aca="false">K121-F121</f>
        <v>251.12</v>
      </c>
      <c r="M121" s="11" t="n">
        <f aca="false">IF(K121=0,"",L121/K121)</f>
        <v>0.399236883942766</v>
      </c>
      <c r="N121" s="11" t="n">
        <f aca="false">IF(F121=0,"",K121/F121-1)</f>
        <v>0.664549592463216</v>
      </c>
    </row>
    <row r="122" customFormat="false" ht="15" hidden="false" customHeight="false" outlineLevel="0" collapsed="false">
      <c r="A122" s="4" t="n">
        <v>118</v>
      </c>
      <c r="B122" s="4" t="s">
        <v>16</v>
      </c>
      <c r="C122" s="4" t="s">
        <v>252</v>
      </c>
      <c r="D122" s="4" t="s">
        <v>255</v>
      </c>
      <c r="E122" s="4" t="s">
        <v>256</v>
      </c>
      <c r="F122" s="5" t="n">
        <v>537.01</v>
      </c>
      <c r="G122" s="6" t="n">
        <f aca="false">INDEX(Reglas!$C$5:$C$8,MATCH(F122,Reglas!$A$5:$A$8,1))</f>
        <v>0.65</v>
      </c>
      <c r="H122" s="7"/>
      <c r="I122" s="8" t="n">
        <f aca="false">INDEX(Reglas!$D$5:$D$8,MATCH(F122,Reglas!$A$5:$A$8,1))</f>
        <v>540</v>
      </c>
      <c r="J122" s="9" t="n">
        <f aca="false">IF(H122="",MAX(F122*(1+G122),I122),F122*(1+H122))</f>
        <v>886.0665</v>
      </c>
      <c r="K122" s="10" t="n">
        <f aca="false">IF(J122&lt;1000,CEILING(J122,10)-1,CEILING(J122,50)-1)</f>
        <v>889</v>
      </c>
      <c r="L122" s="9" t="n">
        <f aca="false">K122-F122</f>
        <v>351.99</v>
      </c>
      <c r="M122" s="11" t="n">
        <f aca="false">IF(K122=0,"",L122/K122)</f>
        <v>0.395939257592801</v>
      </c>
      <c r="N122" s="11" t="n">
        <f aca="false">IF(F122=0,"",K122/F122-1)</f>
        <v>0.655462654326735</v>
      </c>
    </row>
    <row r="123" customFormat="false" ht="15" hidden="false" customHeight="false" outlineLevel="0" collapsed="false">
      <c r="A123" s="4" t="n">
        <v>119</v>
      </c>
      <c r="B123" s="4" t="s">
        <v>16</v>
      </c>
      <c r="C123" s="4" t="s">
        <v>252</v>
      </c>
      <c r="D123" s="4" t="s">
        <v>257</v>
      </c>
      <c r="E123" s="4" t="s">
        <v>258</v>
      </c>
      <c r="F123" s="5" t="n">
        <v>602.03</v>
      </c>
      <c r="G123" s="6" t="n">
        <f aca="false">INDEX(Reglas!$C$5:$C$8,MATCH(F123,Reglas!$A$5:$A$8,1))</f>
        <v>0.65</v>
      </c>
      <c r="H123" s="7"/>
      <c r="I123" s="8" t="n">
        <f aca="false">INDEX(Reglas!$D$5:$D$8,MATCH(F123,Reglas!$A$5:$A$8,1))</f>
        <v>540</v>
      </c>
      <c r="J123" s="9" t="n">
        <f aca="false">IF(H123="",MAX(F123*(1+G123),I123),F123*(1+H123))</f>
        <v>993.3495</v>
      </c>
      <c r="K123" s="10" t="n">
        <f aca="false">IF(J123&lt;1000,CEILING(J123,10)-1,CEILING(J123,50)-1)</f>
        <v>999</v>
      </c>
      <c r="L123" s="9" t="n">
        <f aca="false">K123-F123</f>
        <v>396.97</v>
      </c>
      <c r="M123" s="11" t="n">
        <f aca="false">IF(K123=0,"",L123/K123)</f>
        <v>0.397367367367367</v>
      </c>
      <c r="N123" s="11" t="n">
        <f aca="false">IF(F123=0,"",K123/F123-1)</f>
        <v>0.659385744896434</v>
      </c>
    </row>
    <row r="124" customFormat="false" ht="15" hidden="false" customHeight="false" outlineLevel="0" collapsed="false">
      <c r="A124" s="4" t="n">
        <v>120</v>
      </c>
      <c r="B124" s="4" t="s">
        <v>16</v>
      </c>
      <c r="C124" s="4" t="s">
        <v>252</v>
      </c>
      <c r="D124" s="4" t="s">
        <v>259</v>
      </c>
      <c r="E124" s="4" t="s">
        <v>260</v>
      </c>
      <c r="F124" s="5" t="n">
        <v>604.99</v>
      </c>
      <c r="G124" s="6" t="n">
        <f aca="false">INDEX(Reglas!$C$5:$C$8,MATCH(F124,Reglas!$A$5:$A$8,1))</f>
        <v>0.65</v>
      </c>
      <c r="H124" s="7"/>
      <c r="I124" s="8" t="n">
        <f aca="false">INDEX(Reglas!$D$5:$D$8,MATCH(F124,Reglas!$A$5:$A$8,1))</f>
        <v>540</v>
      </c>
      <c r="J124" s="9" t="n">
        <f aca="false">IF(H124="",MAX(F124*(1+G124),I124),F124*(1+H124))</f>
        <v>998.2335</v>
      </c>
      <c r="K124" s="10" t="n">
        <f aca="false">IF(J124&lt;1000,CEILING(J124,10)-1,CEILING(J124,50)-1)</f>
        <v>999</v>
      </c>
      <c r="L124" s="9" t="n">
        <f aca="false">K124-F124</f>
        <v>394.01</v>
      </c>
      <c r="M124" s="11" t="n">
        <f aca="false">IF(K124=0,"",L124/K124)</f>
        <v>0.394404404404404</v>
      </c>
      <c r="N124" s="11" t="n">
        <f aca="false">IF(F124=0,"",K124/F124-1)</f>
        <v>0.651266963090299</v>
      </c>
    </row>
    <row r="125" customFormat="false" ht="15" hidden="false" customHeight="false" outlineLevel="0" collapsed="false">
      <c r="A125" s="4" t="n">
        <v>121</v>
      </c>
      <c r="B125" s="4" t="s">
        <v>16</v>
      </c>
      <c r="C125" s="4" t="s">
        <v>252</v>
      </c>
      <c r="D125" s="4" t="s">
        <v>261</v>
      </c>
      <c r="E125" s="4" t="s">
        <v>262</v>
      </c>
      <c r="F125" s="5" t="n">
        <v>659.37</v>
      </c>
      <c r="G125" s="6" t="n">
        <f aca="false">INDEX(Reglas!$C$5:$C$8,MATCH(F125,Reglas!$A$5:$A$8,1))</f>
        <v>0.65</v>
      </c>
      <c r="H125" s="7"/>
      <c r="I125" s="8" t="n">
        <f aca="false">INDEX(Reglas!$D$5:$D$8,MATCH(F125,Reglas!$A$5:$A$8,1))</f>
        <v>540</v>
      </c>
      <c r="J125" s="9" t="n">
        <f aca="false">IF(H125="",MAX(F125*(1+G125),I125),F125*(1+H125))</f>
        <v>1087.9605</v>
      </c>
      <c r="K125" s="10" t="n">
        <f aca="false">IF(J125&lt;1000,CEILING(J125,10)-1,CEILING(J125,50)-1)</f>
        <v>1099</v>
      </c>
      <c r="L125" s="9" t="n">
        <f aca="false">K125-F125</f>
        <v>439.63</v>
      </c>
      <c r="M125" s="11" t="n">
        <f aca="false">IF(K125=0,"",L125/K125)</f>
        <v>0.400027297543221</v>
      </c>
      <c r="N125" s="11" t="n">
        <f aca="false">IF(F125=0,"",K125/F125-1)</f>
        <v>0.666742496625567</v>
      </c>
    </row>
    <row r="126" customFormat="false" ht="15" hidden="false" customHeight="false" outlineLevel="0" collapsed="false">
      <c r="A126" s="4" t="n">
        <v>122</v>
      </c>
      <c r="B126" s="4" t="s">
        <v>16</v>
      </c>
      <c r="C126" s="4" t="s">
        <v>252</v>
      </c>
      <c r="D126" s="4" t="s">
        <v>263</v>
      </c>
      <c r="E126" s="4" t="s">
        <v>264</v>
      </c>
      <c r="F126" s="5" t="n">
        <v>743.91</v>
      </c>
      <c r="G126" s="6" t="n">
        <f aca="false">INDEX(Reglas!$C$5:$C$8,MATCH(F126,Reglas!$A$5:$A$8,1))</f>
        <v>0.55</v>
      </c>
      <c r="H126" s="7"/>
      <c r="I126" s="8" t="n">
        <f aca="false">INDEX(Reglas!$D$5:$D$8,MATCH(F126,Reglas!$A$5:$A$8,1))</f>
        <v>1155</v>
      </c>
      <c r="J126" s="9" t="n">
        <f aca="false">IF(H126="",MAX(F126*(1+G126),I126),F126*(1+H126))</f>
        <v>1155</v>
      </c>
      <c r="K126" s="10" t="n">
        <f aca="false">IF(J126&lt;1000,CEILING(J126,10)-1,CEILING(J126,50)-1)</f>
        <v>1199</v>
      </c>
      <c r="L126" s="9" t="n">
        <f aca="false">K126-F126</f>
        <v>455.09</v>
      </c>
      <c r="M126" s="11" t="n">
        <f aca="false">IF(K126=0,"",L126/K126)</f>
        <v>0.379557964970809</v>
      </c>
      <c r="N126" s="11" t="n">
        <f aca="false">IF(F126=0,"",K126/F126-1)</f>
        <v>0.611754110040193</v>
      </c>
    </row>
    <row r="127" customFormat="false" ht="15" hidden="false" customHeight="false" outlineLevel="0" collapsed="false">
      <c r="A127" s="4" t="n">
        <v>123</v>
      </c>
      <c r="B127" s="4" t="s">
        <v>16</v>
      </c>
      <c r="C127" s="4" t="s">
        <v>252</v>
      </c>
      <c r="D127" s="4" t="s">
        <v>265</v>
      </c>
      <c r="E127" s="4" t="s">
        <v>266</v>
      </c>
      <c r="F127" s="5" t="n">
        <v>737.5</v>
      </c>
      <c r="G127" s="6" t="n">
        <f aca="false">INDEX(Reglas!$C$5:$C$8,MATCH(F127,Reglas!$A$5:$A$8,1))</f>
        <v>0.55</v>
      </c>
      <c r="H127" s="7"/>
      <c r="I127" s="8" t="n">
        <f aca="false">INDEX(Reglas!$D$5:$D$8,MATCH(F127,Reglas!$A$5:$A$8,1))</f>
        <v>1155</v>
      </c>
      <c r="J127" s="9" t="n">
        <f aca="false">IF(H127="",MAX(F127*(1+G127),I127),F127*(1+H127))</f>
        <v>1155</v>
      </c>
      <c r="K127" s="10" t="n">
        <f aca="false">IF(J127&lt;1000,CEILING(J127,10)-1,CEILING(J127,50)-1)</f>
        <v>1199</v>
      </c>
      <c r="L127" s="9" t="n">
        <f aca="false">K127-F127</f>
        <v>461.5</v>
      </c>
      <c r="M127" s="11" t="n">
        <f aca="false">IF(K127=0,"",L127/K127)</f>
        <v>0.384904086738949</v>
      </c>
      <c r="N127" s="11" t="n">
        <f aca="false">IF(F127=0,"",K127/F127-1)</f>
        <v>0.625762711864407</v>
      </c>
    </row>
    <row r="128" customFormat="false" ht="15" hidden="false" customHeight="false" outlineLevel="0" collapsed="false">
      <c r="A128" s="4" t="n">
        <v>124</v>
      </c>
      <c r="B128" s="4" t="s">
        <v>16</v>
      </c>
      <c r="C128" s="4" t="s">
        <v>252</v>
      </c>
      <c r="D128" s="4" t="s">
        <v>267</v>
      </c>
      <c r="E128" s="4" t="s">
        <v>268</v>
      </c>
      <c r="F128" s="5" t="n">
        <v>758.45</v>
      </c>
      <c r="G128" s="6" t="n">
        <f aca="false">INDEX(Reglas!$C$5:$C$8,MATCH(F128,Reglas!$A$5:$A$8,1))</f>
        <v>0.55</v>
      </c>
      <c r="H128" s="7"/>
      <c r="I128" s="8" t="n">
        <f aca="false">INDEX(Reglas!$D$5:$D$8,MATCH(F128,Reglas!$A$5:$A$8,1))</f>
        <v>1155</v>
      </c>
      <c r="J128" s="9" t="n">
        <f aca="false">IF(H128="",MAX(F128*(1+G128),I128),F128*(1+H128))</f>
        <v>1175.5975</v>
      </c>
      <c r="K128" s="10" t="n">
        <f aca="false">IF(J128&lt;1000,CEILING(J128,10)-1,CEILING(J128,50)-1)</f>
        <v>1199</v>
      </c>
      <c r="L128" s="9" t="n">
        <f aca="false">K128-F128</f>
        <v>440.55</v>
      </c>
      <c r="M128" s="11" t="n">
        <f aca="false">IF(K128=0,"",L128/K128)</f>
        <v>0.36743119266055</v>
      </c>
      <c r="N128" s="11" t="n">
        <f aca="false">IF(F128=0,"",K128/F128-1)</f>
        <v>0.580855692530819</v>
      </c>
    </row>
    <row r="129" customFormat="false" ht="15" hidden="false" customHeight="false" outlineLevel="0" collapsed="false">
      <c r="A129" s="4" t="n">
        <v>125</v>
      </c>
      <c r="B129" s="4" t="s">
        <v>16</v>
      </c>
      <c r="C129" s="4" t="s">
        <v>252</v>
      </c>
      <c r="D129" s="4" t="s">
        <v>269</v>
      </c>
      <c r="E129" s="4" t="s">
        <v>270</v>
      </c>
      <c r="F129" s="5" t="n">
        <v>747.24</v>
      </c>
      <c r="G129" s="6" t="n">
        <f aca="false">INDEX(Reglas!$C$5:$C$8,MATCH(F129,Reglas!$A$5:$A$8,1))</f>
        <v>0.55</v>
      </c>
      <c r="H129" s="7"/>
      <c r="I129" s="8" t="n">
        <f aca="false">INDEX(Reglas!$D$5:$D$8,MATCH(F129,Reglas!$A$5:$A$8,1))</f>
        <v>1155</v>
      </c>
      <c r="J129" s="9" t="n">
        <f aca="false">IF(H129="",MAX(F129*(1+G129),I129),F129*(1+H129))</f>
        <v>1158.222</v>
      </c>
      <c r="K129" s="10" t="n">
        <f aca="false">IF(J129&lt;1000,CEILING(J129,10)-1,CEILING(J129,50)-1)</f>
        <v>1199</v>
      </c>
      <c r="L129" s="9" t="n">
        <f aca="false">K129-F129</f>
        <v>451.76</v>
      </c>
      <c r="M129" s="11" t="n">
        <f aca="false">IF(K129=0,"",L129/K129)</f>
        <v>0.376780650542118</v>
      </c>
      <c r="N129" s="11" t="n">
        <f aca="false">IF(F129=0,"",K129/F129-1)</f>
        <v>0.604571489748943</v>
      </c>
    </row>
    <row r="130" customFormat="false" ht="15" hidden="false" customHeight="false" outlineLevel="0" collapsed="false">
      <c r="A130" s="4" t="n">
        <v>126</v>
      </c>
      <c r="B130" s="4" t="s">
        <v>16</v>
      </c>
      <c r="C130" s="4" t="s">
        <v>252</v>
      </c>
      <c r="D130" s="4" t="s">
        <v>271</v>
      </c>
      <c r="E130" s="4" t="s">
        <v>272</v>
      </c>
      <c r="F130" s="5" t="n">
        <v>703.43</v>
      </c>
      <c r="G130" s="6" t="n">
        <f aca="false">INDEX(Reglas!$C$5:$C$8,MATCH(F130,Reglas!$A$5:$A$8,1))</f>
        <v>0.55</v>
      </c>
      <c r="H130" s="7"/>
      <c r="I130" s="8" t="n">
        <f aca="false">INDEX(Reglas!$D$5:$D$8,MATCH(F130,Reglas!$A$5:$A$8,1))</f>
        <v>1155</v>
      </c>
      <c r="J130" s="9" t="n">
        <f aca="false">IF(H130="",MAX(F130*(1+G130),I130),F130*(1+H130))</f>
        <v>1155</v>
      </c>
      <c r="K130" s="10" t="n">
        <f aca="false">IF(J130&lt;1000,CEILING(J130,10)-1,CEILING(J130,50)-1)</f>
        <v>1199</v>
      </c>
      <c r="L130" s="9" t="n">
        <f aca="false">K130-F130</f>
        <v>495.57</v>
      </c>
      <c r="M130" s="11" t="n">
        <f aca="false">IF(K130=0,"",L130/K130)</f>
        <v>0.413319432860717</v>
      </c>
      <c r="N130" s="11" t="n">
        <f aca="false">IF(F130=0,"",K130/F130-1)</f>
        <v>0.704505068023826</v>
      </c>
    </row>
    <row r="131" customFormat="false" ht="15" hidden="false" customHeight="false" outlineLevel="0" collapsed="false">
      <c r="A131" s="4" t="n">
        <v>127</v>
      </c>
      <c r="B131" s="4" t="s">
        <v>16</v>
      </c>
      <c r="C131" s="4" t="s">
        <v>252</v>
      </c>
      <c r="D131" s="4" t="s">
        <v>273</v>
      </c>
      <c r="E131" s="4" t="s">
        <v>274</v>
      </c>
      <c r="F131" s="5" t="n">
        <v>815.19</v>
      </c>
      <c r="G131" s="6" t="n">
        <f aca="false">INDEX(Reglas!$C$5:$C$8,MATCH(F131,Reglas!$A$5:$A$8,1))</f>
        <v>0.55</v>
      </c>
      <c r="H131" s="7"/>
      <c r="I131" s="8" t="n">
        <f aca="false">INDEX(Reglas!$D$5:$D$8,MATCH(F131,Reglas!$A$5:$A$8,1))</f>
        <v>1155</v>
      </c>
      <c r="J131" s="9" t="n">
        <f aca="false">IF(H131="",MAX(F131*(1+G131),I131),F131*(1+H131))</f>
        <v>1263.5445</v>
      </c>
      <c r="K131" s="10" t="n">
        <f aca="false">IF(J131&lt;1000,CEILING(J131,10)-1,CEILING(J131,50)-1)</f>
        <v>1299</v>
      </c>
      <c r="L131" s="9" t="n">
        <f aca="false">K131-F131</f>
        <v>483.81</v>
      </c>
      <c r="M131" s="11" t="n">
        <f aca="false">IF(K131=0,"",L131/K131)</f>
        <v>0.372448036951501</v>
      </c>
      <c r="N131" s="11" t="n">
        <f aca="false">IF(F131=0,"",K131/F131-1)</f>
        <v>0.59349354138299</v>
      </c>
    </row>
    <row r="132" customFormat="false" ht="15" hidden="false" customHeight="false" outlineLevel="0" collapsed="false">
      <c r="A132" s="4" t="n">
        <v>128</v>
      </c>
      <c r="B132" s="4" t="s">
        <v>16</v>
      </c>
      <c r="C132" s="4" t="s">
        <v>252</v>
      </c>
      <c r="D132" s="4" t="s">
        <v>275</v>
      </c>
      <c r="E132" s="4" t="s">
        <v>276</v>
      </c>
      <c r="F132" s="5" t="n">
        <v>869.52</v>
      </c>
      <c r="G132" s="6" t="n">
        <f aca="false">INDEX(Reglas!$C$5:$C$8,MATCH(F132,Reglas!$A$5:$A$8,1))</f>
        <v>0.55</v>
      </c>
      <c r="H132" s="7"/>
      <c r="I132" s="8" t="n">
        <f aca="false">INDEX(Reglas!$D$5:$D$8,MATCH(F132,Reglas!$A$5:$A$8,1))</f>
        <v>1155</v>
      </c>
      <c r="J132" s="9" t="n">
        <f aca="false">IF(H132="",MAX(F132*(1+G132),I132),F132*(1+H132))</f>
        <v>1347.756</v>
      </c>
      <c r="K132" s="10" t="n">
        <f aca="false">IF(J132&lt;1000,CEILING(J132,10)-1,CEILING(J132,50)-1)</f>
        <v>1349</v>
      </c>
      <c r="L132" s="9" t="n">
        <f aca="false">K132-F132</f>
        <v>479.48</v>
      </c>
      <c r="M132" s="11" t="n">
        <f aca="false">IF(K132=0,"",L132/K132)</f>
        <v>0.355433654558933</v>
      </c>
      <c r="N132" s="11" t="n">
        <f aca="false">IF(F132=0,"",K132/F132-1)</f>
        <v>0.551430674395069</v>
      </c>
    </row>
    <row r="133" customFormat="false" ht="15" hidden="false" customHeight="false" outlineLevel="0" collapsed="false">
      <c r="A133" s="4" t="n">
        <v>129</v>
      </c>
      <c r="B133" s="4" t="s">
        <v>16</v>
      </c>
      <c r="C133" s="4" t="s">
        <v>252</v>
      </c>
      <c r="D133" s="4" t="s">
        <v>277</v>
      </c>
      <c r="E133" s="4" t="s">
        <v>278</v>
      </c>
      <c r="F133" s="5" t="n">
        <v>866.93</v>
      </c>
      <c r="G133" s="6" t="n">
        <f aca="false">INDEX(Reglas!$C$5:$C$8,MATCH(F133,Reglas!$A$5:$A$8,1))</f>
        <v>0.55</v>
      </c>
      <c r="H133" s="7"/>
      <c r="I133" s="8" t="n">
        <f aca="false">INDEX(Reglas!$D$5:$D$8,MATCH(F133,Reglas!$A$5:$A$8,1))</f>
        <v>1155</v>
      </c>
      <c r="J133" s="9" t="n">
        <f aca="false">IF(H133="",MAX(F133*(1+G133),I133),F133*(1+H133))</f>
        <v>1343.7415</v>
      </c>
      <c r="K133" s="10" t="n">
        <f aca="false">IF(J133&lt;1000,CEILING(J133,10)-1,CEILING(J133,50)-1)</f>
        <v>1349</v>
      </c>
      <c r="L133" s="9" t="n">
        <f aca="false">K133-F133</f>
        <v>482.07</v>
      </c>
      <c r="M133" s="11" t="n">
        <f aca="false">IF(K133=0,"",L133/K133)</f>
        <v>0.357353595255745</v>
      </c>
      <c r="N133" s="11" t="n">
        <f aca="false">IF(F133=0,"",K133/F133-1)</f>
        <v>0.556065656973458</v>
      </c>
    </row>
    <row r="134" customFormat="false" ht="15" hidden="false" customHeight="false" outlineLevel="0" collapsed="false">
      <c r="A134" s="4" t="n">
        <v>130</v>
      </c>
      <c r="B134" s="4" t="s">
        <v>16</v>
      </c>
      <c r="C134" s="4" t="s">
        <v>252</v>
      </c>
      <c r="D134" s="4" t="s">
        <v>279</v>
      </c>
      <c r="E134" s="4" t="s">
        <v>280</v>
      </c>
      <c r="F134" s="5" t="n">
        <v>870.19</v>
      </c>
      <c r="G134" s="6" t="n">
        <f aca="false">INDEX(Reglas!$C$5:$C$8,MATCH(F134,Reglas!$A$5:$A$8,1))</f>
        <v>0.55</v>
      </c>
      <c r="H134" s="7"/>
      <c r="I134" s="8" t="n">
        <f aca="false">INDEX(Reglas!$D$5:$D$8,MATCH(F134,Reglas!$A$5:$A$8,1))</f>
        <v>1155</v>
      </c>
      <c r="J134" s="9" t="n">
        <f aca="false">IF(H134="",MAX(F134*(1+G134),I134),F134*(1+H134))</f>
        <v>1348.7945</v>
      </c>
      <c r="K134" s="10" t="n">
        <f aca="false">IF(J134&lt;1000,CEILING(J134,10)-1,CEILING(J134,50)-1)</f>
        <v>1349</v>
      </c>
      <c r="L134" s="9" t="n">
        <f aca="false">K134-F134</f>
        <v>478.81</v>
      </c>
      <c r="M134" s="11" t="n">
        <f aca="false">IF(K134=0,"",L134/K134)</f>
        <v>0.354936990363232</v>
      </c>
      <c r="N134" s="11" t="n">
        <f aca="false">IF(F134=0,"",K134/F134-1)</f>
        <v>0.550236155322401</v>
      </c>
    </row>
    <row r="135" customFormat="false" ht="15" hidden="false" customHeight="false" outlineLevel="0" collapsed="false">
      <c r="A135" s="4" t="n">
        <v>131</v>
      </c>
      <c r="B135" s="4" t="s">
        <v>16</v>
      </c>
      <c r="C135" s="4" t="s">
        <v>252</v>
      </c>
      <c r="D135" s="4" t="s">
        <v>281</v>
      </c>
      <c r="E135" s="4" t="s">
        <v>282</v>
      </c>
      <c r="F135" s="5" t="n">
        <v>892.81</v>
      </c>
      <c r="G135" s="6" t="n">
        <f aca="false">INDEX(Reglas!$C$5:$C$8,MATCH(F135,Reglas!$A$5:$A$8,1))</f>
        <v>0.55</v>
      </c>
      <c r="H135" s="7"/>
      <c r="I135" s="8" t="n">
        <f aca="false">INDEX(Reglas!$D$5:$D$8,MATCH(F135,Reglas!$A$5:$A$8,1))</f>
        <v>1155</v>
      </c>
      <c r="J135" s="9" t="n">
        <f aca="false">IF(H135="",MAX(F135*(1+G135),I135),F135*(1+H135))</f>
        <v>1383.8555</v>
      </c>
      <c r="K135" s="10" t="n">
        <f aca="false">IF(J135&lt;1000,CEILING(J135,10)-1,CEILING(J135,50)-1)</f>
        <v>1399</v>
      </c>
      <c r="L135" s="9" t="n">
        <f aca="false">K135-F135</f>
        <v>506.19</v>
      </c>
      <c r="M135" s="11" t="n">
        <f aca="false">IF(K135=0,"",L135/K135)</f>
        <v>0.361822730521801</v>
      </c>
      <c r="N135" s="11" t="n">
        <f aca="false">IF(F135=0,"",K135/F135-1)</f>
        <v>0.566962735632442</v>
      </c>
    </row>
    <row r="136" customFormat="false" ht="15" hidden="false" customHeight="false" outlineLevel="0" collapsed="false">
      <c r="A136" s="4" t="n">
        <v>132</v>
      </c>
      <c r="B136" s="4" t="s">
        <v>16</v>
      </c>
      <c r="C136" s="4" t="s">
        <v>252</v>
      </c>
      <c r="D136" s="4" t="s">
        <v>283</v>
      </c>
      <c r="E136" s="4" t="s">
        <v>284</v>
      </c>
      <c r="F136" s="5" t="n">
        <v>901.39</v>
      </c>
      <c r="G136" s="6" t="n">
        <f aca="false">INDEX(Reglas!$C$5:$C$8,MATCH(F136,Reglas!$A$5:$A$8,1))</f>
        <v>0.55</v>
      </c>
      <c r="H136" s="7"/>
      <c r="I136" s="8" t="n">
        <f aca="false">INDEX(Reglas!$D$5:$D$8,MATCH(F136,Reglas!$A$5:$A$8,1))</f>
        <v>1155</v>
      </c>
      <c r="J136" s="9" t="n">
        <f aca="false">IF(H136="",MAX(F136*(1+G136),I136),F136*(1+H136))</f>
        <v>1397.1545</v>
      </c>
      <c r="K136" s="10" t="n">
        <f aca="false">IF(J136&lt;1000,CEILING(J136,10)-1,CEILING(J136,50)-1)</f>
        <v>1399</v>
      </c>
      <c r="L136" s="9" t="n">
        <f aca="false">K136-F136</f>
        <v>497.61</v>
      </c>
      <c r="M136" s="11" t="n">
        <f aca="false">IF(K136=0,"",L136/K136)</f>
        <v>0.355689778413152</v>
      </c>
      <c r="N136" s="11" t="n">
        <f aca="false">IF(F136=0,"",K136/F136-1)</f>
        <v>0.552047393470085</v>
      </c>
    </row>
    <row r="137" customFormat="false" ht="15" hidden="false" customHeight="false" outlineLevel="0" collapsed="false">
      <c r="A137" s="4" t="n">
        <v>133</v>
      </c>
      <c r="B137" s="4" t="s">
        <v>16</v>
      </c>
      <c r="C137" s="4" t="s">
        <v>252</v>
      </c>
      <c r="D137" s="4" t="s">
        <v>285</v>
      </c>
      <c r="E137" s="4" t="s">
        <v>286</v>
      </c>
      <c r="F137" s="5" t="n">
        <v>953.35</v>
      </c>
      <c r="G137" s="6" t="n">
        <f aca="false">INDEX(Reglas!$C$5:$C$8,MATCH(F137,Reglas!$A$5:$A$8,1))</f>
        <v>0.55</v>
      </c>
      <c r="H137" s="7"/>
      <c r="I137" s="8" t="n">
        <f aca="false">INDEX(Reglas!$D$5:$D$8,MATCH(F137,Reglas!$A$5:$A$8,1))</f>
        <v>1155</v>
      </c>
      <c r="J137" s="9" t="n">
        <f aca="false">IF(H137="",MAX(F137*(1+G137),I137),F137*(1+H137))</f>
        <v>1477.6925</v>
      </c>
      <c r="K137" s="10" t="n">
        <f aca="false">IF(J137&lt;1000,CEILING(J137,10)-1,CEILING(J137,50)-1)</f>
        <v>1499</v>
      </c>
      <c r="L137" s="9" t="n">
        <f aca="false">K137-F137</f>
        <v>545.65</v>
      </c>
      <c r="M137" s="11" t="n">
        <f aca="false">IF(K137=0,"",L137/K137)</f>
        <v>0.364009339559706</v>
      </c>
      <c r="N137" s="11" t="n">
        <f aca="false">IF(F137=0,"",K137/F137-1)</f>
        <v>0.572350133738921</v>
      </c>
    </row>
    <row r="138" customFormat="false" ht="15" hidden="false" customHeight="false" outlineLevel="0" collapsed="false">
      <c r="A138" s="4" t="n">
        <v>134</v>
      </c>
      <c r="B138" s="4" t="s">
        <v>16</v>
      </c>
      <c r="C138" s="4" t="s">
        <v>252</v>
      </c>
      <c r="D138" s="4" t="s">
        <v>287</v>
      </c>
      <c r="E138" s="4" t="s">
        <v>288</v>
      </c>
      <c r="F138" s="5" t="n">
        <v>940.52</v>
      </c>
      <c r="G138" s="6" t="n">
        <f aca="false">INDEX(Reglas!$C$5:$C$8,MATCH(F138,Reglas!$A$5:$A$8,1))</f>
        <v>0.55</v>
      </c>
      <c r="H138" s="7"/>
      <c r="I138" s="8" t="n">
        <f aca="false">INDEX(Reglas!$D$5:$D$8,MATCH(F138,Reglas!$A$5:$A$8,1))</f>
        <v>1155</v>
      </c>
      <c r="J138" s="9" t="n">
        <f aca="false">IF(H138="",MAX(F138*(1+G138),I138),F138*(1+H138))</f>
        <v>1457.806</v>
      </c>
      <c r="K138" s="10" t="n">
        <f aca="false">IF(J138&lt;1000,CEILING(J138,10)-1,CEILING(J138,50)-1)</f>
        <v>1499</v>
      </c>
      <c r="L138" s="9" t="n">
        <f aca="false">K138-F138</f>
        <v>558.48</v>
      </c>
      <c r="M138" s="11" t="n">
        <f aca="false">IF(K138=0,"",L138/K138)</f>
        <v>0.37256837891928</v>
      </c>
      <c r="N138" s="11" t="n">
        <f aca="false">IF(F138=0,"",K138/F138-1)</f>
        <v>0.59379917492451</v>
      </c>
    </row>
    <row r="139" customFormat="false" ht="15" hidden="false" customHeight="false" outlineLevel="0" collapsed="false">
      <c r="A139" s="4" t="n">
        <v>135</v>
      </c>
      <c r="B139" s="4" t="s">
        <v>16</v>
      </c>
      <c r="C139" s="4" t="s">
        <v>252</v>
      </c>
      <c r="D139" s="4" t="s">
        <v>289</v>
      </c>
      <c r="E139" s="4" t="s">
        <v>290</v>
      </c>
      <c r="F139" s="5" t="n">
        <v>959.36</v>
      </c>
      <c r="G139" s="6" t="n">
        <f aca="false">INDEX(Reglas!$C$5:$C$8,MATCH(F139,Reglas!$A$5:$A$8,1))</f>
        <v>0.55</v>
      </c>
      <c r="H139" s="7"/>
      <c r="I139" s="8" t="n">
        <f aca="false">INDEX(Reglas!$D$5:$D$8,MATCH(F139,Reglas!$A$5:$A$8,1))</f>
        <v>1155</v>
      </c>
      <c r="J139" s="9" t="n">
        <f aca="false">IF(H139="",MAX(F139*(1+G139),I139),F139*(1+H139))</f>
        <v>1487.008</v>
      </c>
      <c r="K139" s="10" t="n">
        <f aca="false">IF(J139&lt;1000,CEILING(J139,10)-1,CEILING(J139,50)-1)</f>
        <v>1499</v>
      </c>
      <c r="L139" s="9" t="n">
        <f aca="false">K139-F139</f>
        <v>539.64</v>
      </c>
      <c r="M139" s="11" t="n">
        <f aca="false">IF(K139=0,"",L139/K139)</f>
        <v>0.36</v>
      </c>
      <c r="N139" s="11" t="n">
        <f aca="false">IF(F139=0,"",K139/F139-1)</f>
        <v>0.5625</v>
      </c>
    </row>
    <row r="140" customFormat="false" ht="15" hidden="false" customHeight="false" outlineLevel="0" collapsed="false">
      <c r="A140" s="4" t="n">
        <v>136</v>
      </c>
      <c r="B140" s="4" t="s">
        <v>16</v>
      </c>
      <c r="C140" s="4" t="s">
        <v>252</v>
      </c>
      <c r="D140" s="4" t="s">
        <v>291</v>
      </c>
      <c r="E140" s="4" t="s">
        <v>292</v>
      </c>
      <c r="F140" s="5" t="n">
        <v>965.42</v>
      </c>
      <c r="G140" s="6" t="n">
        <f aca="false">INDEX(Reglas!$C$5:$C$8,MATCH(F140,Reglas!$A$5:$A$8,1))</f>
        <v>0.55</v>
      </c>
      <c r="H140" s="7"/>
      <c r="I140" s="8" t="n">
        <f aca="false">INDEX(Reglas!$D$5:$D$8,MATCH(F140,Reglas!$A$5:$A$8,1))</f>
        <v>1155</v>
      </c>
      <c r="J140" s="9" t="n">
        <f aca="false">IF(H140="",MAX(F140*(1+G140),I140),F140*(1+H140))</f>
        <v>1496.401</v>
      </c>
      <c r="K140" s="10" t="n">
        <f aca="false">IF(J140&lt;1000,CEILING(J140,10)-1,CEILING(J140,50)-1)</f>
        <v>1499</v>
      </c>
      <c r="L140" s="9" t="n">
        <f aca="false">K140-F140</f>
        <v>533.58</v>
      </c>
      <c r="M140" s="11" t="n">
        <f aca="false">IF(K140=0,"",L140/K140)</f>
        <v>0.355957304869913</v>
      </c>
      <c r="N140" s="11" t="n">
        <f aca="false">IF(F140=0,"",K140/F140-1)</f>
        <v>0.552692092560751</v>
      </c>
    </row>
    <row r="141" customFormat="false" ht="15" hidden="false" customHeight="false" outlineLevel="0" collapsed="false">
      <c r="A141" s="4" t="n">
        <v>137</v>
      </c>
      <c r="B141" s="4" t="s">
        <v>16</v>
      </c>
      <c r="C141" s="4" t="s">
        <v>252</v>
      </c>
      <c r="D141" s="4" t="s">
        <v>293</v>
      </c>
      <c r="E141" s="4" t="s">
        <v>294</v>
      </c>
      <c r="F141" s="5" t="n">
        <v>944.7</v>
      </c>
      <c r="G141" s="6" t="n">
        <f aca="false">INDEX(Reglas!$C$5:$C$8,MATCH(F141,Reglas!$A$5:$A$8,1))</f>
        <v>0.55</v>
      </c>
      <c r="H141" s="7"/>
      <c r="I141" s="8" t="n">
        <f aca="false">INDEX(Reglas!$D$5:$D$8,MATCH(F141,Reglas!$A$5:$A$8,1))</f>
        <v>1155</v>
      </c>
      <c r="J141" s="9" t="n">
        <f aca="false">IF(H141="",MAX(F141*(1+G141),I141),F141*(1+H141))</f>
        <v>1464.285</v>
      </c>
      <c r="K141" s="10" t="n">
        <f aca="false">IF(J141&lt;1000,CEILING(J141,10)-1,CEILING(J141,50)-1)</f>
        <v>1499</v>
      </c>
      <c r="L141" s="9" t="n">
        <f aca="false">K141-F141</f>
        <v>554.3</v>
      </c>
      <c r="M141" s="11" t="n">
        <f aca="false">IF(K141=0,"",L141/K141)</f>
        <v>0.36977985323549</v>
      </c>
      <c r="N141" s="11" t="n">
        <f aca="false">IF(F141=0,"",K141/F141-1)</f>
        <v>0.586747115486398</v>
      </c>
    </row>
    <row r="142" customFormat="false" ht="15" hidden="false" customHeight="false" outlineLevel="0" collapsed="false">
      <c r="A142" s="4" t="n">
        <v>138</v>
      </c>
      <c r="B142" s="4" t="s">
        <v>16</v>
      </c>
      <c r="C142" s="4" t="s">
        <v>252</v>
      </c>
      <c r="D142" s="4" t="s">
        <v>295</v>
      </c>
      <c r="E142" s="4" t="s">
        <v>296</v>
      </c>
      <c r="F142" s="5" t="n">
        <v>998.3</v>
      </c>
      <c r="G142" s="6" t="n">
        <f aca="false">INDEX(Reglas!$C$5:$C$8,MATCH(F142,Reglas!$A$5:$A$8,1))</f>
        <v>0.55</v>
      </c>
      <c r="H142" s="7"/>
      <c r="I142" s="8" t="n">
        <f aca="false">INDEX(Reglas!$D$5:$D$8,MATCH(F142,Reglas!$A$5:$A$8,1))</f>
        <v>1155</v>
      </c>
      <c r="J142" s="9" t="n">
        <f aca="false">IF(H142="",MAX(F142*(1+G142),I142),F142*(1+H142))</f>
        <v>1547.365</v>
      </c>
      <c r="K142" s="10" t="n">
        <f aca="false">IF(J142&lt;1000,CEILING(J142,10)-1,CEILING(J142,50)-1)</f>
        <v>1549</v>
      </c>
      <c r="L142" s="9" t="n">
        <f aca="false">K142-F142</f>
        <v>550.7</v>
      </c>
      <c r="M142" s="11" t="n">
        <f aca="false">IF(K142=0,"",L142/K142)</f>
        <v>0.35551969012266</v>
      </c>
      <c r="N142" s="11" t="n">
        <f aca="false">IF(F142=0,"",K142/F142-1)</f>
        <v>0.551637784233197</v>
      </c>
    </row>
    <row r="143" customFormat="false" ht="15" hidden="false" customHeight="false" outlineLevel="0" collapsed="false">
      <c r="A143" s="4" t="n">
        <v>139</v>
      </c>
      <c r="B143" s="4" t="s">
        <v>16</v>
      </c>
      <c r="C143" s="4" t="s">
        <v>252</v>
      </c>
      <c r="D143" s="4" t="s">
        <v>297</v>
      </c>
      <c r="E143" s="4" t="s">
        <v>298</v>
      </c>
      <c r="F143" s="5" t="n">
        <v>1012.41</v>
      </c>
      <c r="G143" s="6" t="n">
        <f aca="false">INDEX(Reglas!$C$5:$C$8,MATCH(F143,Reglas!$A$5:$A$8,1))</f>
        <v>0.55</v>
      </c>
      <c r="H143" s="7"/>
      <c r="I143" s="8" t="n">
        <f aca="false">INDEX(Reglas!$D$5:$D$8,MATCH(F143,Reglas!$A$5:$A$8,1))</f>
        <v>1155</v>
      </c>
      <c r="J143" s="9" t="n">
        <f aca="false">IF(H143="",MAX(F143*(1+G143),I143),F143*(1+H143))</f>
        <v>1569.2355</v>
      </c>
      <c r="K143" s="10" t="n">
        <f aca="false">IF(J143&lt;1000,CEILING(J143,10)-1,CEILING(J143,50)-1)</f>
        <v>1599</v>
      </c>
      <c r="L143" s="9" t="n">
        <f aca="false">K143-F143</f>
        <v>586.59</v>
      </c>
      <c r="M143" s="11" t="n">
        <f aca="false">IF(K143=0,"",L143/K143)</f>
        <v>0.366848030018762</v>
      </c>
      <c r="N143" s="11" t="n">
        <f aca="false">IF(F143=0,"",K143/F143-1)</f>
        <v>0.57939965033929</v>
      </c>
    </row>
    <row r="144" customFormat="false" ht="15" hidden="false" customHeight="false" outlineLevel="0" collapsed="false">
      <c r="A144" s="4" t="n">
        <v>140</v>
      </c>
      <c r="B144" s="4" t="s">
        <v>16</v>
      </c>
      <c r="C144" s="4" t="s">
        <v>252</v>
      </c>
      <c r="D144" s="4" t="s">
        <v>299</v>
      </c>
      <c r="E144" s="4" t="s">
        <v>300</v>
      </c>
      <c r="F144" s="5" t="n">
        <v>1022.34</v>
      </c>
      <c r="G144" s="6" t="n">
        <f aca="false">INDEX(Reglas!$C$5:$C$8,MATCH(F144,Reglas!$A$5:$A$8,1))</f>
        <v>0.55</v>
      </c>
      <c r="H144" s="7"/>
      <c r="I144" s="8" t="n">
        <f aca="false">INDEX(Reglas!$D$5:$D$8,MATCH(F144,Reglas!$A$5:$A$8,1))</f>
        <v>1155</v>
      </c>
      <c r="J144" s="9" t="n">
        <f aca="false">IF(H144="",MAX(F144*(1+G144),I144),F144*(1+H144))</f>
        <v>1584.627</v>
      </c>
      <c r="K144" s="10" t="n">
        <f aca="false">IF(J144&lt;1000,CEILING(J144,10)-1,CEILING(J144,50)-1)</f>
        <v>1599</v>
      </c>
      <c r="L144" s="9" t="n">
        <f aca="false">K144-F144</f>
        <v>576.66</v>
      </c>
      <c r="M144" s="11" t="n">
        <f aca="false">IF(K144=0,"",L144/K144)</f>
        <v>0.360637898686679</v>
      </c>
      <c r="N144" s="11" t="n">
        <f aca="false">IF(F144=0,"",K144/F144-1)</f>
        <v>0.564058923645754</v>
      </c>
    </row>
    <row r="145" customFormat="false" ht="15" hidden="false" customHeight="false" outlineLevel="0" collapsed="false">
      <c r="A145" s="4" t="n">
        <v>141</v>
      </c>
      <c r="B145" s="4" t="s">
        <v>16</v>
      </c>
      <c r="C145" s="4" t="s">
        <v>252</v>
      </c>
      <c r="D145" s="4" t="s">
        <v>301</v>
      </c>
      <c r="E145" s="4" t="s">
        <v>302</v>
      </c>
      <c r="F145" s="5" t="n">
        <v>1047.3</v>
      </c>
      <c r="G145" s="6" t="n">
        <f aca="false">INDEX(Reglas!$C$5:$C$8,MATCH(F145,Reglas!$A$5:$A$8,1))</f>
        <v>0.55</v>
      </c>
      <c r="H145" s="7"/>
      <c r="I145" s="8" t="n">
        <f aca="false">INDEX(Reglas!$D$5:$D$8,MATCH(F145,Reglas!$A$5:$A$8,1))</f>
        <v>1155</v>
      </c>
      <c r="J145" s="9" t="n">
        <f aca="false">IF(H145="",MAX(F145*(1+G145),I145),F145*(1+H145))</f>
        <v>1623.315</v>
      </c>
      <c r="K145" s="10" t="n">
        <f aca="false">IF(J145&lt;1000,CEILING(J145,10)-1,CEILING(J145,50)-1)</f>
        <v>1649</v>
      </c>
      <c r="L145" s="9" t="n">
        <f aca="false">K145-F145</f>
        <v>601.7</v>
      </c>
      <c r="M145" s="11" t="n">
        <f aca="false">IF(K145=0,"",L145/K145)</f>
        <v>0.364887810794421</v>
      </c>
      <c r="N145" s="11" t="n">
        <f aca="false">IF(F145=0,"",K145/F145-1)</f>
        <v>0.574524968967822</v>
      </c>
    </row>
    <row r="146" customFormat="false" ht="15" hidden="false" customHeight="false" outlineLevel="0" collapsed="false">
      <c r="A146" s="4" t="n">
        <v>142</v>
      </c>
      <c r="B146" s="4" t="s">
        <v>16</v>
      </c>
      <c r="C146" s="4" t="s">
        <v>252</v>
      </c>
      <c r="D146" s="4" t="s">
        <v>303</v>
      </c>
      <c r="E146" s="4" t="s">
        <v>304</v>
      </c>
      <c r="F146" s="5" t="n">
        <v>1045.6</v>
      </c>
      <c r="G146" s="6" t="n">
        <f aca="false">INDEX(Reglas!$C$5:$C$8,MATCH(F146,Reglas!$A$5:$A$8,1))</f>
        <v>0.55</v>
      </c>
      <c r="H146" s="7"/>
      <c r="I146" s="8" t="n">
        <f aca="false">INDEX(Reglas!$D$5:$D$8,MATCH(F146,Reglas!$A$5:$A$8,1))</f>
        <v>1155</v>
      </c>
      <c r="J146" s="9" t="n">
        <f aca="false">IF(H146="",MAX(F146*(1+G146),I146),F146*(1+H146))</f>
        <v>1620.68</v>
      </c>
      <c r="K146" s="10" t="n">
        <f aca="false">IF(J146&lt;1000,CEILING(J146,10)-1,CEILING(J146,50)-1)</f>
        <v>1649</v>
      </c>
      <c r="L146" s="9" t="n">
        <f aca="false">K146-F146</f>
        <v>603.4</v>
      </c>
      <c r="M146" s="11" t="n">
        <f aca="false">IF(K146=0,"",L146/K146)</f>
        <v>0.365918738629472</v>
      </c>
      <c r="N146" s="11" t="n">
        <f aca="false">IF(F146=0,"",K146/F146-1)</f>
        <v>0.577084927314461</v>
      </c>
    </row>
    <row r="147" customFormat="false" ht="15" hidden="false" customHeight="false" outlineLevel="0" collapsed="false">
      <c r="A147" s="4" t="n">
        <v>143</v>
      </c>
      <c r="B147" s="4" t="s">
        <v>16</v>
      </c>
      <c r="C147" s="4" t="s">
        <v>252</v>
      </c>
      <c r="D147" s="4" t="s">
        <v>305</v>
      </c>
      <c r="E147" s="4" t="s">
        <v>306</v>
      </c>
      <c r="F147" s="5" t="n">
        <v>1104.95</v>
      </c>
      <c r="G147" s="6" t="n">
        <f aca="false">INDEX(Reglas!$C$5:$C$8,MATCH(F147,Reglas!$A$5:$A$8,1))</f>
        <v>0.55</v>
      </c>
      <c r="H147" s="7"/>
      <c r="I147" s="8" t="n">
        <f aca="false">INDEX(Reglas!$D$5:$D$8,MATCH(F147,Reglas!$A$5:$A$8,1))</f>
        <v>1155</v>
      </c>
      <c r="J147" s="9" t="n">
        <f aca="false">IF(H147="",MAX(F147*(1+G147),I147),F147*(1+H147))</f>
        <v>1712.6725</v>
      </c>
      <c r="K147" s="10" t="n">
        <f aca="false">IF(J147&lt;1000,CEILING(J147,10)-1,CEILING(J147,50)-1)</f>
        <v>1749</v>
      </c>
      <c r="L147" s="9" t="n">
        <f aca="false">K147-F147</f>
        <v>644.05</v>
      </c>
      <c r="M147" s="11" t="n">
        <f aca="false">IF(K147=0,"",L147/K147)</f>
        <v>0.368238993710692</v>
      </c>
      <c r="N147" s="11" t="n">
        <f aca="false">IF(F147=0,"",K147/F147-1)</f>
        <v>0.582877053260329</v>
      </c>
    </row>
    <row r="148" customFormat="false" ht="15" hidden="false" customHeight="false" outlineLevel="0" collapsed="false">
      <c r="A148" s="4" t="n">
        <v>144</v>
      </c>
      <c r="B148" s="4" t="s">
        <v>16</v>
      </c>
      <c r="C148" s="4" t="s">
        <v>252</v>
      </c>
      <c r="D148" s="4" t="s">
        <v>307</v>
      </c>
      <c r="E148" s="4" t="s">
        <v>308</v>
      </c>
      <c r="F148" s="5" t="n">
        <v>1121.19</v>
      </c>
      <c r="G148" s="6" t="n">
        <f aca="false">INDEX(Reglas!$C$5:$C$8,MATCH(F148,Reglas!$A$5:$A$8,1))</f>
        <v>0.55</v>
      </c>
      <c r="H148" s="7"/>
      <c r="I148" s="8" t="n">
        <f aca="false">INDEX(Reglas!$D$5:$D$8,MATCH(F148,Reglas!$A$5:$A$8,1))</f>
        <v>1155</v>
      </c>
      <c r="J148" s="9" t="n">
        <f aca="false">IF(H148="",MAX(F148*(1+G148),I148),F148*(1+H148))</f>
        <v>1737.8445</v>
      </c>
      <c r="K148" s="10" t="n">
        <f aca="false">IF(J148&lt;1000,CEILING(J148,10)-1,CEILING(J148,50)-1)</f>
        <v>1749</v>
      </c>
      <c r="L148" s="9" t="n">
        <f aca="false">K148-F148</f>
        <v>627.81</v>
      </c>
      <c r="M148" s="11" t="n">
        <f aca="false">IF(K148=0,"",L148/K148)</f>
        <v>0.358953687821612</v>
      </c>
      <c r="N148" s="11" t="n">
        <f aca="false">IF(F148=0,"",K148/F148-1)</f>
        <v>0.559949696304819</v>
      </c>
    </row>
    <row r="149" customFormat="false" ht="15" hidden="false" customHeight="false" outlineLevel="0" collapsed="false">
      <c r="A149" s="4" t="n">
        <v>145</v>
      </c>
      <c r="B149" s="4" t="s">
        <v>16</v>
      </c>
      <c r="C149" s="4" t="s">
        <v>252</v>
      </c>
      <c r="D149" s="4" t="s">
        <v>309</v>
      </c>
      <c r="E149" s="4" t="s">
        <v>310</v>
      </c>
      <c r="F149" s="5" t="n">
        <v>1275.69</v>
      </c>
      <c r="G149" s="6" t="n">
        <f aca="false">INDEX(Reglas!$C$5:$C$8,MATCH(F149,Reglas!$A$5:$A$8,1))</f>
        <v>0.45</v>
      </c>
      <c r="H149" s="7"/>
      <c r="I149" s="8" t="n">
        <f aca="false">INDEX(Reglas!$D$5:$D$8,MATCH(F149,Reglas!$A$5:$A$8,1))</f>
        <v>1860</v>
      </c>
      <c r="J149" s="9" t="n">
        <f aca="false">IF(H149="",MAX(F149*(1+G149),I149),F149*(1+H149))</f>
        <v>1860</v>
      </c>
      <c r="K149" s="10" t="n">
        <f aca="false">IF(J149&lt;1000,CEILING(J149,10)-1,CEILING(J149,50)-1)</f>
        <v>1899</v>
      </c>
      <c r="L149" s="9" t="n">
        <f aca="false">K149-F149</f>
        <v>623.31</v>
      </c>
      <c r="M149" s="11" t="n">
        <f aca="false">IF(K149=0,"",L149/K149)</f>
        <v>0.328230647709321</v>
      </c>
      <c r="N149" s="11" t="n">
        <f aca="false">IF(F149=0,"",K149/F149-1)</f>
        <v>0.48860616607483</v>
      </c>
    </row>
    <row r="150" customFormat="false" ht="15" hidden="false" customHeight="false" outlineLevel="0" collapsed="false">
      <c r="A150" s="4" t="n">
        <v>146</v>
      </c>
      <c r="B150" s="4" t="s">
        <v>16</v>
      </c>
      <c r="C150" s="4" t="s">
        <v>252</v>
      </c>
      <c r="D150" s="4" t="s">
        <v>311</v>
      </c>
      <c r="E150" s="4" t="s">
        <v>312</v>
      </c>
      <c r="F150" s="5" t="n">
        <v>1218.29</v>
      </c>
      <c r="G150" s="6" t="n">
        <f aca="false">INDEX(Reglas!$C$5:$C$8,MATCH(F150,Reglas!$A$5:$A$8,1))</f>
        <v>0.45</v>
      </c>
      <c r="H150" s="7"/>
      <c r="I150" s="8" t="n">
        <f aca="false">INDEX(Reglas!$D$5:$D$8,MATCH(F150,Reglas!$A$5:$A$8,1))</f>
        <v>1860</v>
      </c>
      <c r="J150" s="9" t="n">
        <f aca="false">IF(H150="",MAX(F150*(1+G150),I150),F150*(1+H150))</f>
        <v>1860</v>
      </c>
      <c r="K150" s="10" t="n">
        <f aca="false">IF(J150&lt;1000,CEILING(J150,10)-1,CEILING(J150,50)-1)</f>
        <v>1899</v>
      </c>
      <c r="L150" s="9" t="n">
        <f aca="false">K150-F150</f>
        <v>680.71</v>
      </c>
      <c r="M150" s="11" t="n">
        <f aca="false">IF(K150=0,"",L150/K150)</f>
        <v>0.358457082675092</v>
      </c>
      <c r="N150" s="11" t="n">
        <f aca="false">IF(F150=0,"",K150/F150-1)</f>
        <v>0.558742171404181</v>
      </c>
    </row>
    <row r="151" customFormat="false" ht="15" hidden="false" customHeight="false" outlineLevel="0" collapsed="false">
      <c r="A151" s="4" t="n">
        <v>147</v>
      </c>
      <c r="B151" s="4" t="s">
        <v>16</v>
      </c>
      <c r="C151" s="4" t="s">
        <v>252</v>
      </c>
      <c r="D151" s="4" t="s">
        <v>313</v>
      </c>
      <c r="E151" s="4" t="s">
        <v>314</v>
      </c>
      <c r="F151" s="5" t="n">
        <v>1358.91</v>
      </c>
      <c r="G151" s="6" t="n">
        <f aca="false">INDEX(Reglas!$C$5:$C$8,MATCH(F151,Reglas!$A$5:$A$8,1))</f>
        <v>0.45</v>
      </c>
      <c r="H151" s="7"/>
      <c r="I151" s="8" t="n">
        <f aca="false">INDEX(Reglas!$D$5:$D$8,MATCH(F151,Reglas!$A$5:$A$8,1))</f>
        <v>1860</v>
      </c>
      <c r="J151" s="9" t="n">
        <f aca="false">IF(H151="",MAX(F151*(1+G151),I151),F151*(1+H151))</f>
        <v>1970.4195</v>
      </c>
      <c r="K151" s="10" t="n">
        <f aca="false">IF(J151&lt;1000,CEILING(J151,10)-1,CEILING(J151,50)-1)</f>
        <v>1999</v>
      </c>
      <c r="L151" s="9" t="n">
        <f aca="false">K151-F151</f>
        <v>640.09</v>
      </c>
      <c r="M151" s="11" t="n">
        <f aca="false">IF(K151=0,"",L151/K151)</f>
        <v>0.320205102551276</v>
      </c>
      <c r="N151" s="11" t="n">
        <f aca="false">IF(F151=0,"",K151/F151-1)</f>
        <v>0.471031930002723</v>
      </c>
    </row>
    <row r="152" customFormat="false" ht="15" hidden="false" customHeight="false" outlineLevel="0" collapsed="false">
      <c r="A152" s="4" t="n">
        <v>148</v>
      </c>
      <c r="B152" s="4" t="s">
        <v>16</v>
      </c>
      <c r="C152" s="4" t="s">
        <v>252</v>
      </c>
      <c r="D152" s="4" t="s">
        <v>315</v>
      </c>
      <c r="E152" s="4" t="s">
        <v>316</v>
      </c>
      <c r="F152" s="5" t="n">
        <v>1381</v>
      </c>
      <c r="G152" s="6" t="n">
        <f aca="false">INDEX(Reglas!$C$5:$C$8,MATCH(F152,Reglas!$A$5:$A$8,1))</f>
        <v>0.45</v>
      </c>
      <c r="H152" s="7"/>
      <c r="I152" s="8" t="n">
        <f aca="false">INDEX(Reglas!$D$5:$D$8,MATCH(F152,Reglas!$A$5:$A$8,1))</f>
        <v>1860</v>
      </c>
      <c r="J152" s="9" t="n">
        <f aca="false">IF(H152="",MAX(F152*(1+G152),I152),F152*(1+H152))</f>
        <v>2002.45</v>
      </c>
      <c r="K152" s="10" t="n">
        <f aca="false">IF(J152&lt;1000,CEILING(J152,10)-1,CEILING(J152,50)-1)</f>
        <v>2049</v>
      </c>
      <c r="L152" s="9" t="n">
        <f aca="false">K152-F152</f>
        <v>668</v>
      </c>
      <c r="M152" s="11" t="n">
        <f aca="false">IF(K152=0,"",L152/K152)</f>
        <v>0.326012689116642</v>
      </c>
      <c r="N152" s="11" t="n">
        <f aca="false">IF(F152=0,"",K152/F152-1)</f>
        <v>0.483707458363505</v>
      </c>
    </row>
    <row r="153" customFormat="false" ht="15" hidden="false" customHeight="false" outlineLevel="0" collapsed="false">
      <c r="A153" s="4" t="n">
        <v>149</v>
      </c>
      <c r="B153" s="4" t="s">
        <v>16</v>
      </c>
      <c r="C153" s="4" t="s">
        <v>252</v>
      </c>
      <c r="D153" s="4" t="s">
        <v>317</v>
      </c>
      <c r="E153" s="4" t="s">
        <v>318</v>
      </c>
      <c r="F153" s="5" t="n">
        <v>1454.34</v>
      </c>
      <c r="G153" s="6" t="n">
        <f aca="false">INDEX(Reglas!$C$5:$C$8,MATCH(F153,Reglas!$A$5:$A$8,1))</f>
        <v>0.45</v>
      </c>
      <c r="H153" s="7"/>
      <c r="I153" s="8" t="n">
        <f aca="false">INDEX(Reglas!$D$5:$D$8,MATCH(F153,Reglas!$A$5:$A$8,1))</f>
        <v>1860</v>
      </c>
      <c r="J153" s="9" t="n">
        <f aca="false">IF(H153="",MAX(F153*(1+G153),I153),F153*(1+H153))</f>
        <v>2108.793</v>
      </c>
      <c r="K153" s="10" t="n">
        <f aca="false">IF(J153&lt;1000,CEILING(J153,10)-1,CEILING(J153,50)-1)</f>
        <v>2149</v>
      </c>
      <c r="L153" s="9" t="n">
        <f aca="false">K153-F153</f>
        <v>694.66</v>
      </c>
      <c r="M153" s="11" t="n">
        <f aca="false">IF(K153=0,"",L153/K153)</f>
        <v>0.32324802233597</v>
      </c>
      <c r="N153" s="11" t="n">
        <f aca="false">IF(F153=0,"",K153/F153-1)</f>
        <v>0.477646217528226</v>
      </c>
    </row>
    <row r="154" customFormat="false" ht="15" hidden="false" customHeight="false" outlineLevel="0" collapsed="false">
      <c r="A154" s="4" t="n">
        <v>150</v>
      </c>
      <c r="B154" s="4" t="s">
        <v>16</v>
      </c>
      <c r="C154" s="4" t="s">
        <v>252</v>
      </c>
      <c r="D154" s="4" t="s">
        <v>319</v>
      </c>
      <c r="E154" s="4" t="s">
        <v>320</v>
      </c>
      <c r="F154" s="5" t="n">
        <v>1506.62</v>
      </c>
      <c r="G154" s="6" t="n">
        <f aca="false">INDEX(Reglas!$C$5:$C$8,MATCH(F154,Reglas!$A$5:$A$8,1))</f>
        <v>0.45</v>
      </c>
      <c r="H154" s="7"/>
      <c r="I154" s="8" t="n">
        <f aca="false">INDEX(Reglas!$D$5:$D$8,MATCH(F154,Reglas!$A$5:$A$8,1))</f>
        <v>1860</v>
      </c>
      <c r="J154" s="9" t="n">
        <f aca="false">IF(H154="",MAX(F154*(1+G154),I154),F154*(1+H154))</f>
        <v>2184.599</v>
      </c>
      <c r="K154" s="10" t="n">
        <f aca="false">IF(J154&lt;1000,CEILING(J154,10)-1,CEILING(J154,50)-1)</f>
        <v>2199</v>
      </c>
      <c r="L154" s="9" t="n">
        <f aca="false">K154-F154</f>
        <v>692.38</v>
      </c>
      <c r="M154" s="11" t="n">
        <f aca="false">IF(K154=0,"",L154/K154)</f>
        <v>0.314861300591178</v>
      </c>
      <c r="N154" s="11" t="n">
        <f aca="false">IF(F154=0,"",K154/F154-1)</f>
        <v>0.459558481899882</v>
      </c>
    </row>
    <row r="155" customFormat="false" ht="15" hidden="false" customHeight="false" outlineLevel="0" collapsed="false">
      <c r="A155" s="4" t="n">
        <v>151</v>
      </c>
      <c r="B155" s="4" t="s">
        <v>16</v>
      </c>
      <c r="C155" s="4" t="s">
        <v>252</v>
      </c>
      <c r="D155" s="4" t="s">
        <v>321</v>
      </c>
      <c r="E155" s="4" t="s">
        <v>322</v>
      </c>
      <c r="F155" s="5" t="n">
        <v>1596.2</v>
      </c>
      <c r="G155" s="6" t="n">
        <f aca="false">INDEX(Reglas!$C$5:$C$8,MATCH(F155,Reglas!$A$5:$A$8,1))</f>
        <v>0.45</v>
      </c>
      <c r="H155" s="7"/>
      <c r="I155" s="8" t="n">
        <f aca="false">INDEX(Reglas!$D$5:$D$8,MATCH(F155,Reglas!$A$5:$A$8,1))</f>
        <v>1860</v>
      </c>
      <c r="J155" s="9" t="n">
        <f aca="false">IF(H155="",MAX(F155*(1+G155),I155),F155*(1+H155))</f>
        <v>2314.49</v>
      </c>
      <c r="K155" s="10" t="n">
        <f aca="false">IF(J155&lt;1000,CEILING(J155,10)-1,CEILING(J155,50)-1)</f>
        <v>2349</v>
      </c>
      <c r="L155" s="9" t="n">
        <f aca="false">K155-F155</f>
        <v>752.8</v>
      </c>
      <c r="M155" s="11" t="n">
        <f aca="false">IF(K155=0,"",L155/K155)</f>
        <v>0.320476798637718</v>
      </c>
      <c r="N155" s="11" t="n">
        <f aca="false">IF(F155=0,"",K155/F155-1)</f>
        <v>0.471620097732114</v>
      </c>
    </row>
    <row r="156" customFormat="false" ht="15" hidden="false" customHeight="false" outlineLevel="0" collapsed="false">
      <c r="A156" s="4" t="n">
        <v>152</v>
      </c>
      <c r="B156" s="4" t="s">
        <v>16</v>
      </c>
      <c r="C156" s="4" t="s">
        <v>252</v>
      </c>
      <c r="D156" s="4" t="s">
        <v>323</v>
      </c>
      <c r="E156" s="4" t="s">
        <v>324</v>
      </c>
      <c r="F156" s="5" t="n">
        <v>1652.82</v>
      </c>
      <c r="G156" s="6" t="n">
        <f aca="false">INDEX(Reglas!$C$5:$C$8,MATCH(F156,Reglas!$A$5:$A$8,1))</f>
        <v>0.45</v>
      </c>
      <c r="H156" s="7"/>
      <c r="I156" s="8" t="n">
        <f aca="false">INDEX(Reglas!$D$5:$D$8,MATCH(F156,Reglas!$A$5:$A$8,1))</f>
        <v>1860</v>
      </c>
      <c r="J156" s="9" t="n">
        <f aca="false">IF(H156="",MAX(F156*(1+G156),I156),F156*(1+H156))</f>
        <v>2396.589</v>
      </c>
      <c r="K156" s="10" t="n">
        <f aca="false">IF(J156&lt;1000,CEILING(J156,10)-1,CEILING(J156,50)-1)</f>
        <v>2399</v>
      </c>
      <c r="L156" s="9" t="n">
        <f aca="false">K156-F156</f>
        <v>746.18</v>
      </c>
      <c r="M156" s="11" t="n">
        <f aca="false">IF(K156=0,"",L156/K156)</f>
        <v>0.311037932471863</v>
      </c>
      <c r="N156" s="11" t="n">
        <f aca="false">IF(F156=0,"",K156/F156-1)</f>
        <v>0.451458719037766</v>
      </c>
    </row>
    <row r="157" customFormat="false" ht="15" hidden="false" customHeight="false" outlineLevel="0" collapsed="false">
      <c r="A157" s="4" t="n">
        <v>153</v>
      </c>
      <c r="B157" s="4" t="s">
        <v>16</v>
      </c>
      <c r="C157" s="4" t="s">
        <v>252</v>
      </c>
      <c r="D157" s="4" t="s">
        <v>325</v>
      </c>
      <c r="E157" s="4" t="s">
        <v>326</v>
      </c>
      <c r="F157" s="5" t="n">
        <v>1847</v>
      </c>
      <c r="G157" s="6" t="n">
        <f aca="false">INDEX(Reglas!$C$5:$C$8,MATCH(F157,Reglas!$A$5:$A$8,1))</f>
        <v>0.45</v>
      </c>
      <c r="H157" s="7"/>
      <c r="I157" s="8" t="n">
        <f aca="false">INDEX(Reglas!$D$5:$D$8,MATCH(F157,Reglas!$A$5:$A$8,1))</f>
        <v>1860</v>
      </c>
      <c r="J157" s="9" t="n">
        <f aca="false">IF(H157="",MAX(F157*(1+G157),I157),F157*(1+H157))</f>
        <v>2678.15</v>
      </c>
      <c r="K157" s="10" t="n">
        <f aca="false">IF(J157&lt;1000,CEILING(J157,10)-1,CEILING(J157,50)-1)</f>
        <v>2699</v>
      </c>
      <c r="L157" s="9" t="n">
        <f aca="false">K157-F157</f>
        <v>852</v>
      </c>
      <c r="M157" s="11" t="n">
        <f aca="false">IF(K157=0,"",L157/K157)</f>
        <v>0.315672471285661</v>
      </c>
      <c r="N157" s="11" t="n">
        <f aca="false">IF(F157=0,"",K157/F157-1)</f>
        <v>0.461288576069302</v>
      </c>
    </row>
    <row r="158" customFormat="false" ht="15" hidden="false" customHeight="false" outlineLevel="0" collapsed="false">
      <c r="A158" s="4" t="n">
        <v>154</v>
      </c>
      <c r="B158" s="4" t="s">
        <v>16</v>
      </c>
      <c r="C158" s="4" t="s">
        <v>252</v>
      </c>
      <c r="D158" s="4" t="s">
        <v>327</v>
      </c>
      <c r="E158" s="4" t="s">
        <v>328</v>
      </c>
      <c r="F158" s="5" t="n">
        <v>1840.92</v>
      </c>
      <c r="G158" s="6" t="n">
        <f aca="false">INDEX(Reglas!$C$5:$C$8,MATCH(F158,Reglas!$A$5:$A$8,1))</f>
        <v>0.45</v>
      </c>
      <c r="H158" s="7"/>
      <c r="I158" s="8" t="n">
        <f aca="false">INDEX(Reglas!$D$5:$D$8,MATCH(F158,Reglas!$A$5:$A$8,1))</f>
        <v>1860</v>
      </c>
      <c r="J158" s="9" t="n">
        <f aca="false">IF(H158="",MAX(F158*(1+G158),I158),F158*(1+H158))</f>
        <v>2669.334</v>
      </c>
      <c r="K158" s="10" t="n">
        <f aca="false">IF(J158&lt;1000,CEILING(J158,10)-1,CEILING(J158,50)-1)</f>
        <v>2699</v>
      </c>
      <c r="L158" s="9" t="n">
        <f aca="false">K158-F158</f>
        <v>858.08</v>
      </c>
      <c r="M158" s="11" t="n">
        <f aca="false">IF(K158=0,"",L158/K158)</f>
        <v>0.317925157465728</v>
      </c>
      <c r="N158" s="11" t="n">
        <f aca="false">IF(F158=0,"",K158/F158-1)</f>
        <v>0.466114768702605</v>
      </c>
    </row>
    <row r="159" customFormat="false" ht="15" hidden="false" customHeight="false" outlineLevel="0" collapsed="false">
      <c r="A159" s="4" t="n">
        <v>155</v>
      </c>
      <c r="B159" s="4" t="s">
        <v>16</v>
      </c>
      <c r="C159" s="4" t="s">
        <v>252</v>
      </c>
      <c r="D159" s="4" t="s">
        <v>329</v>
      </c>
      <c r="E159" s="4" t="s">
        <v>330</v>
      </c>
      <c r="F159" s="5" t="n">
        <v>1869.42</v>
      </c>
      <c r="G159" s="6" t="n">
        <f aca="false">INDEX(Reglas!$C$5:$C$8,MATCH(F159,Reglas!$A$5:$A$8,1))</f>
        <v>0.45</v>
      </c>
      <c r="H159" s="7"/>
      <c r="I159" s="8" t="n">
        <f aca="false">INDEX(Reglas!$D$5:$D$8,MATCH(F159,Reglas!$A$5:$A$8,1))</f>
        <v>1860</v>
      </c>
      <c r="J159" s="9" t="n">
        <f aca="false">IF(H159="",MAX(F159*(1+G159),I159),F159*(1+H159))</f>
        <v>2710.659</v>
      </c>
      <c r="K159" s="10" t="n">
        <f aca="false">IF(J159&lt;1000,CEILING(J159,10)-1,CEILING(J159,50)-1)</f>
        <v>2749</v>
      </c>
      <c r="L159" s="9" t="n">
        <f aca="false">K159-F159</f>
        <v>879.58</v>
      </c>
      <c r="M159" s="11" t="n">
        <f aca="false">IF(K159=0,"",L159/K159)</f>
        <v>0.319963623135686</v>
      </c>
      <c r="N159" s="11" t="n">
        <f aca="false">IF(F159=0,"",K159/F159-1)</f>
        <v>0.470509569813097</v>
      </c>
    </row>
    <row r="160" customFormat="false" ht="15" hidden="false" customHeight="false" outlineLevel="0" collapsed="false">
      <c r="A160" s="4" t="n">
        <v>156</v>
      </c>
      <c r="B160" s="4" t="s">
        <v>16</v>
      </c>
      <c r="C160" s="4" t="s">
        <v>252</v>
      </c>
      <c r="D160" s="4" t="s">
        <v>331</v>
      </c>
      <c r="E160" s="4" t="s">
        <v>332</v>
      </c>
      <c r="F160" s="5" t="n">
        <v>2012.34</v>
      </c>
      <c r="G160" s="6" t="n">
        <f aca="false">INDEX(Reglas!$C$5:$C$8,MATCH(F160,Reglas!$A$5:$A$8,1))</f>
        <v>0.45</v>
      </c>
      <c r="H160" s="7"/>
      <c r="I160" s="8" t="n">
        <f aca="false">INDEX(Reglas!$D$5:$D$8,MATCH(F160,Reglas!$A$5:$A$8,1))</f>
        <v>1860</v>
      </c>
      <c r="J160" s="9" t="n">
        <f aca="false">IF(H160="",MAX(F160*(1+G160),I160),F160*(1+H160))</f>
        <v>2917.893</v>
      </c>
      <c r="K160" s="10" t="n">
        <f aca="false">IF(J160&lt;1000,CEILING(J160,10)-1,CEILING(J160,50)-1)</f>
        <v>2949</v>
      </c>
      <c r="L160" s="9" t="n">
        <f aca="false">K160-F160</f>
        <v>936.66</v>
      </c>
      <c r="M160" s="11" t="n">
        <f aca="false">IF(K160=0,"",L160/K160)</f>
        <v>0.317619532044761</v>
      </c>
      <c r="N160" s="11" t="n">
        <f aca="false">IF(F160=0,"",K160/F160-1)</f>
        <v>0.465458123378753</v>
      </c>
    </row>
    <row r="161" customFormat="false" ht="15" hidden="false" customHeight="false" outlineLevel="0" collapsed="false">
      <c r="A161" s="4" t="n">
        <v>157</v>
      </c>
      <c r="B161" s="4" t="s">
        <v>16</v>
      </c>
      <c r="C161" s="4" t="s">
        <v>252</v>
      </c>
      <c r="D161" s="4" t="s">
        <v>333</v>
      </c>
      <c r="E161" s="4" t="s">
        <v>334</v>
      </c>
      <c r="F161" s="5" t="n">
        <v>2188.47</v>
      </c>
      <c r="G161" s="6" t="n">
        <f aca="false">INDEX(Reglas!$C$5:$C$8,MATCH(F161,Reglas!$A$5:$A$8,1))</f>
        <v>0.45</v>
      </c>
      <c r="H161" s="7"/>
      <c r="I161" s="8" t="n">
        <f aca="false">INDEX(Reglas!$D$5:$D$8,MATCH(F161,Reglas!$A$5:$A$8,1))</f>
        <v>1860</v>
      </c>
      <c r="J161" s="9" t="n">
        <f aca="false">IF(H161="",MAX(F161*(1+G161),I161),F161*(1+H161))</f>
        <v>3173.2815</v>
      </c>
      <c r="K161" s="10" t="n">
        <f aca="false">IF(J161&lt;1000,CEILING(J161,10)-1,CEILING(J161,50)-1)</f>
        <v>3199</v>
      </c>
      <c r="L161" s="9" t="n">
        <f aca="false">K161-F161</f>
        <v>1010.53</v>
      </c>
      <c r="M161" s="11" t="n">
        <f aca="false">IF(K161=0,"",L161/K161)</f>
        <v>0.315889340418881</v>
      </c>
      <c r="N161" s="11" t="n">
        <f aca="false">IF(F161=0,"",K161/F161-1)</f>
        <v>0.461751817479792</v>
      </c>
    </row>
    <row r="162" customFormat="false" ht="15" hidden="false" customHeight="false" outlineLevel="0" collapsed="false">
      <c r="A162" s="4" t="n">
        <v>158</v>
      </c>
      <c r="B162" s="4" t="s">
        <v>16</v>
      </c>
      <c r="C162" s="4" t="s">
        <v>252</v>
      </c>
      <c r="D162" s="4" t="s">
        <v>335</v>
      </c>
      <c r="E162" s="4" t="s">
        <v>336</v>
      </c>
      <c r="F162" s="5" t="n">
        <v>2411.07</v>
      </c>
      <c r="G162" s="6" t="n">
        <f aca="false">INDEX(Reglas!$C$5:$C$8,MATCH(F162,Reglas!$A$5:$A$8,1))</f>
        <v>0.45</v>
      </c>
      <c r="H162" s="7"/>
      <c r="I162" s="8" t="n">
        <f aca="false">INDEX(Reglas!$D$5:$D$8,MATCH(F162,Reglas!$A$5:$A$8,1))</f>
        <v>1860</v>
      </c>
      <c r="J162" s="9" t="n">
        <f aca="false">IF(H162="",MAX(F162*(1+G162),I162),F162*(1+H162))</f>
        <v>3496.0515</v>
      </c>
      <c r="K162" s="10" t="n">
        <f aca="false">IF(J162&lt;1000,CEILING(J162,10)-1,CEILING(J162,50)-1)</f>
        <v>3499</v>
      </c>
      <c r="L162" s="9" t="n">
        <f aca="false">K162-F162</f>
        <v>1087.93</v>
      </c>
      <c r="M162" s="11" t="n">
        <f aca="false">IF(K162=0,"",L162/K162)</f>
        <v>0.3109259788511</v>
      </c>
      <c r="N162" s="11" t="n">
        <f aca="false">IF(F162=0,"",K162/F162-1)</f>
        <v>0.45122290103564</v>
      </c>
    </row>
    <row r="163" customFormat="false" ht="15" hidden="false" customHeight="false" outlineLevel="0" collapsed="false">
      <c r="A163" s="4" t="n">
        <v>159</v>
      </c>
      <c r="B163" s="4" t="s">
        <v>16</v>
      </c>
      <c r="C163" s="4" t="s">
        <v>252</v>
      </c>
      <c r="D163" s="4" t="s">
        <v>337</v>
      </c>
      <c r="E163" s="4" t="s">
        <v>338</v>
      </c>
      <c r="F163" s="5" t="n">
        <v>3442.72</v>
      </c>
      <c r="G163" s="6" t="n">
        <f aca="false">INDEX(Reglas!$C$5:$C$8,MATCH(F163,Reglas!$A$5:$A$8,1))</f>
        <v>0.45</v>
      </c>
      <c r="H163" s="7"/>
      <c r="I163" s="8" t="n">
        <f aca="false">INDEX(Reglas!$D$5:$D$8,MATCH(F163,Reglas!$A$5:$A$8,1))</f>
        <v>1860</v>
      </c>
      <c r="J163" s="9" t="n">
        <f aca="false">IF(H163="",MAX(F163*(1+G163),I163),F163*(1+H163))</f>
        <v>4991.944</v>
      </c>
      <c r="K163" s="10" t="n">
        <f aca="false">IF(J163&lt;1000,CEILING(J163,10)-1,CEILING(J163,50)-1)</f>
        <v>4999</v>
      </c>
      <c r="L163" s="9" t="n">
        <f aca="false">K163-F163</f>
        <v>1556.28</v>
      </c>
      <c r="M163" s="11" t="n">
        <f aca="false">IF(K163=0,"",L163/K163)</f>
        <v>0.311318263652731</v>
      </c>
      <c r="N163" s="11" t="n">
        <f aca="false">IF(F163=0,"",K163/F163-1)</f>
        <v>0.452049542222429</v>
      </c>
    </row>
    <row r="164" customFormat="false" ht="15" hidden="false" customHeight="false" outlineLevel="0" collapsed="false">
      <c r="A164" s="4" t="n">
        <v>160</v>
      </c>
      <c r="B164" s="4" t="s">
        <v>16</v>
      </c>
      <c r="C164" s="4" t="s">
        <v>339</v>
      </c>
      <c r="D164" s="4" t="s">
        <v>340</v>
      </c>
      <c r="E164" s="4" t="s">
        <v>341</v>
      </c>
      <c r="F164" s="5" t="n">
        <v>129.01</v>
      </c>
      <c r="G164" s="6" t="n">
        <f aca="false">INDEX(Reglas!$C$5:$C$8,MATCH(F164,Reglas!$A$5:$A$8,1))</f>
        <v>0.8</v>
      </c>
      <c r="H164" s="7"/>
      <c r="I164" s="8" t="n">
        <f aca="false">INDEX(Reglas!$D$5:$D$8,MATCH(F164,Reglas!$A$5:$A$8,1))</f>
        <v>0</v>
      </c>
      <c r="J164" s="9" t="n">
        <f aca="false">IF(H164="",MAX(F164*(1+G164),I164),F164*(1+H164))</f>
        <v>232.218</v>
      </c>
      <c r="K164" s="10" t="n">
        <f aca="false">IF(J164&lt;1000,CEILING(J164,10)-1,CEILING(J164,50)-1)</f>
        <v>239</v>
      </c>
      <c r="L164" s="9" t="n">
        <f aca="false">K164-F164</f>
        <v>109.99</v>
      </c>
      <c r="M164" s="11" t="n">
        <f aca="false">IF(K164=0,"",L164/K164)</f>
        <v>0.460209205020921</v>
      </c>
      <c r="N164" s="11" t="n">
        <f aca="false">IF(F164=0,"",K164/F164-1)</f>
        <v>0.852569568250523</v>
      </c>
    </row>
    <row r="165" customFormat="false" ht="15" hidden="false" customHeight="false" outlineLevel="0" collapsed="false">
      <c r="A165" s="4" t="n">
        <v>161</v>
      </c>
      <c r="B165" s="4" t="s">
        <v>342</v>
      </c>
      <c r="C165" s="4" t="s">
        <v>343</v>
      </c>
      <c r="D165" s="4" t="s">
        <v>344</v>
      </c>
      <c r="E165" s="4" t="s">
        <v>345</v>
      </c>
      <c r="F165" s="5" t="n">
        <v>362.5</v>
      </c>
      <c r="G165" s="6" t="n">
        <f aca="false">INDEX(Reglas!$C$5:$C$8,MATCH(F165,Reglas!$A$5:$A$8,1))</f>
        <v>0.65</v>
      </c>
      <c r="H165" s="7"/>
      <c r="I165" s="8" t="n">
        <f aca="false">INDEX(Reglas!$D$5:$D$8,MATCH(F165,Reglas!$A$5:$A$8,1))</f>
        <v>540</v>
      </c>
      <c r="J165" s="9" t="n">
        <f aca="false">IF(H165="",MAX(F165*(1+G165),I165),F165*(1+H165))</f>
        <v>598.125</v>
      </c>
      <c r="K165" s="10" t="n">
        <f aca="false">IF(J165&lt;1000,CEILING(J165,10)-1,CEILING(J165,50)-1)</f>
        <v>599</v>
      </c>
      <c r="L165" s="9" t="n">
        <f aca="false">K165-F165</f>
        <v>236.5</v>
      </c>
      <c r="M165" s="11" t="n">
        <f aca="false">IF(K165=0,"",L165/K165)</f>
        <v>0.394824707846411</v>
      </c>
      <c r="N165" s="11" t="n">
        <f aca="false">IF(F165=0,"",K165/F165-1)</f>
        <v>0.652413793103448</v>
      </c>
    </row>
    <row r="166" customFormat="false" ht="15" hidden="false" customHeight="false" outlineLevel="0" collapsed="false">
      <c r="A166" s="4" t="n">
        <v>162</v>
      </c>
      <c r="B166" s="4" t="s">
        <v>342</v>
      </c>
      <c r="C166" s="4" t="s">
        <v>343</v>
      </c>
      <c r="D166" s="4" t="s">
        <v>346</v>
      </c>
      <c r="E166" s="4" t="s">
        <v>347</v>
      </c>
      <c r="F166" s="5" t="n">
        <v>384.06</v>
      </c>
      <c r="G166" s="6" t="n">
        <f aca="false">INDEX(Reglas!$C$5:$C$8,MATCH(F166,Reglas!$A$5:$A$8,1))</f>
        <v>0.65</v>
      </c>
      <c r="H166" s="7"/>
      <c r="I166" s="8" t="n">
        <f aca="false">INDEX(Reglas!$D$5:$D$8,MATCH(F166,Reglas!$A$5:$A$8,1))</f>
        <v>540</v>
      </c>
      <c r="J166" s="9" t="n">
        <f aca="false">IF(H166="",MAX(F166*(1+G166),I166),F166*(1+H166))</f>
        <v>633.699</v>
      </c>
      <c r="K166" s="10" t="n">
        <f aca="false">IF(J166&lt;1000,CEILING(J166,10)-1,CEILING(J166,50)-1)</f>
        <v>639</v>
      </c>
      <c r="L166" s="9" t="n">
        <f aca="false">K166-F166</f>
        <v>254.94</v>
      </c>
      <c r="M166" s="11" t="n">
        <f aca="false">IF(K166=0,"",L166/K166)</f>
        <v>0.398967136150235</v>
      </c>
      <c r="N166" s="11" t="n">
        <f aca="false">IF(F166=0,"",K166/F166-1)</f>
        <v>0.663802530854554</v>
      </c>
    </row>
    <row r="167" customFormat="false" ht="15" hidden="false" customHeight="false" outlineLevel="0" collapsed="false">
      <c r="A167" s="4" t="n">
        <v>163</v>
      </c>
      <c r="B167" s="4" t="s">
        <v>342</v>
      </c>
      <c r="C167" s="4" t="s">
        <v>343</v>
      </c>
      <c r="D167" s="4" t="s">
        <v>348</v>
      </c>
      <c r="E167" s="4" t="s">
        <v>349</v>
      </c>
      <c r="F167" s="5" t="n">
        <v>384.59</v>
      </c>
      <c r="G167" s="6" t="n">
        <f aca="false">INDEX(Reglas!$C$5:$C$8,MATCH(F167,Reglas!$A$5:$A$8,1))</f>
        <v>0.65</v>
      </c>
      <c r="H167" s="7"/>
      <c r="I167" s="8" t="n">
        <f aca="false">INDEX(Reglas!$D$5:$D$8,MATCH(F167,Reglas!$A$5:$A$8,1))</f>
        <v>540</v>
      </c>
      <c r="J167" s="9" t="n">
        <f aca="false">IF(H167="",MAX(F167*(1+G167),I167),F167*(1+H167))</f>
        <v>634.5735</v>
      </c>
      <c r="K167" s="10" t="n">
        <f aca="false">IF(J167&lt;1000,CEILING(J167,10)-1,CEILING(J167,50)-1)</f>
        <v>639</v>
      </c>
      <c r="L167" s="9" t="n">
        <f aca="false">K167-F167</f>
        <v>254.41</v>
      </c>
      <c r="M167" s="11" t="n">
        <f aca="false">IF(K167=0,"",L167/K167)</f>
        <v>0.398137715179969</v>
      </c>
      <c r="N167" s="11" t="n">
        <f aca="false">IF(F167=0,"",K167/F167-1)</f>
        <v>0.661509659637536</v>
      </c>
    </row>
    <row r="168" customFormat="false" ht="15" hidden="false" customHeight="false" outlineLevel="0" collapsed="false">
      <c r="A168" s="4" t="n">
        <v>164</v>
      </c>
      <c r="B168" s="4" t="s">
        <v>342</v>
      </c>
      <c r="C168" s="4" t="s">
        <v>343</v>
      </c>
      <c r="D168" s="4" t="s">
        <v>350</v>
      </c>
      <c r="E168" s="4" t="s">
        <v>351</v>
      </c>
      <c r="F168" s="5" t="n">
        <v>419.93</v>
      </c>
      <c r="G168" s="6" t="n">
        <f aca="false">INDEX(Reglas!$C$5:$C$8,MATCH(F168,Reglas!$A$5:$A$8,1))</f>
        <v>0.65</v>
      </c>
      <c r="H168" s="7"/>
      <c r="I168" s="8" t="n">
        <f aca="false">INDEX(Reglas!$D$5:$D$8,MATCH(F168,Reglas!$A$5:$A$8,1))</f>
        <v>540</v>
      </c>
      <c r="J168" s="9" t="n">
        <f aca="false">IF(H168="",MAX(F168*(1+G168),I168),F168*(1+H168))</f>
        <v>692.8845</v>
      </c>
      <c r="K168" s="10" t="n">
        <f aca="false">IF(J168&lt;1000,CEILING(J168,10)-1,CEILING(J168,50)-1)</f>
        <v>699</v>
      </c>
      <c r="L168" s="9" t="n">
        <f aca="false">K168-F168</f>
        <v>279.07</v>
      </c>
      <c r="M168" s="11" t="n">
        <f aca="false">IF(K168=0,"",L168/K168)</f>
        <v>0.399241773962804</v>
      </c>
      <c r="N168" s="11" t="n">
        <f aca="false">IF(F168=0,"",K168/F168-1)</f>
        <v>0.66456314147596</v>
      </c>
    </row>
    <row r="169" customFormat="false" ht="15" hidden="false" customHeight="false" outlineLevel="0" collapsed="false">
      <c r="A169" s="4" t="n">
        <v>165</v>
      </c>
      <c r="B169" s="4" t="s">
        <v>342</v>
      </c>
      <c r="C169" s="4" t="s">
        <v>343</v>
      </c>
      <c r="D169" s="4" t="s">
        <v>352</v>
      </c>
      <c r="E169" s="4" t="s">
        <v>353</v>
      </c>
      <c r="F169" s="5" t="n">
        <v>525.56</v>
      </c>
      <c r="G169" s="6" t="n">
        <f aca="false">INDEX(Reglas!$C$5:$C$8,MATCH(F169,Reglas!$A$5:$A$8,1))</f>
        <v>0.65</v>
      </c>
      <c r="H169" s="7"/>
      <c r="I169" s="8" t="n">
        <f aca="false">INDEX(Reglas!$D$5:$D$8,MATCH(F169,Reglas!$A$5:$A$8,1))</f>
        <v>540</v>
      </c>
      <c r="J169" s="9" t="n">
        <f aca="false">IF(H169="",MAX(F169*(1+G169),I169),F169*(1+H169))</f>
        <v>867.174</v>
      </c>
      <c r="K169" s="10" t="n">
        <f aca="false">IF(J169&lt;1000,CEILING(J169,10)-1,CEILING(J169,50)-1)</f>
        <v>869</v>
      </c>
      <c r="L169" s="9" t="n">
        <f aca="false">K169-F169</f>
        <v>343.44</v>
      </c>
      <c r="M169" s="11" t="n">
        <f aca="false">IF(K169=0,"",L169/K169)</f>
        <v>0.395212888377445</v>
      </c>
      <c r="N169" s="11" t="n">
        <f aca="false">IF(F169=0,"",K169/F169-1)</f>
        <v>0.653474389222924</v>
      </c>
    </row>
    <row r="170" customFormat="false" ht="15" hidden="false" customHeight="false" outlineLevel="0" collapsed="false">
      <c r="A170" s="4" t="n">
        <v>166</v>
      </c>
      <c r="B170" s="4" t="s">
        <v>342</v>
      </c>
      <c r="C170" s="4" t="s">
        <v>343</v>
      </c>
      <c r="D170" s="4" t="s">
        <v>354</v>
      </c>
      <c r="E170" s="4" t="s">
        <v>355</v>
      </c>
      <c r="F170" s="5" t="n">
        <v>550.83</v>
      </c>
      <c r="G170" s="6" t="n">
        <f aca="false">INDEX(Reglas!$C$5:$C$8,MATCH(F170,Reglas!$A$5:$A$8,1))</f>
        <v>0.65</v>
      </c>
      <c r="H170" s="7"/>
      <c r="I170" s="8" t="n">
        <f aca="false">INDEX(Reglas!$D$5:$D$8,MATCH(F170,Reglas!$A$5:$A$8,1))</f>
        <v>540</v>
      </c>
      <c r="J170" s="9" t="n">
        <f aca="false">IF(H170="",MAX(F170*(1+G170),I170),F170*(1+H170))</f>
        <v>908.8695</v>
      </c>
      <c r="K170" s="10" t="n">
        <f aca="false">IF(J170&lt;1000,CEILING(J170,10)-1,CEILING(J170,50)-1)</f>
        <v>909</v>
      </c>
      <c r="L170" s="9" t="n">
        <f aca="false">K170-F170</f>
        <v>358.17</v>
      </c>
      <c r="M170" s="11" t="n">
        <f aca="false">IF(K170=0,"",L170/K170)</f>
        <v>0.394026402640264</v>
      </c>
      <c r="N170" s="11" t="n">
        <f aca="false">IF(F170=0,"",K170/F170-1)</f>
        <v>0.650236915200697</v>
      </c>
    </row>
    <row r="171" customFormat="false" ht="15" hidden="false" customHeight="false" outlineLevel="0" collapsed="false">
      <c r="A171" s="4" t="n">
        <v>167</v>
      </c>
      <c r="B171" s="4" t="s">
        <v>342</v>
      </c>
      <c r="C171" s="4" t="s">
        <v>356</v>
      </c>
      <c r="D171" s="4" t="s">
        <v>357</v>
      </c>
      <c r="E171" s="4" t="s">
        <v>358</v>
      </c>
      <c r="F171" s="5" t="n">
        <v>950.19</v>
      </c>
      <c r="G171" s="6" t="n">
        <f aca="false">INDEX(Reglas!$C$5:$C$8,MATCH(F171,Reglas!$A$5:$A$8,1))</f>
        <v>0.55</v>
      </c>
      <c r="H171" s="7"/>
      <c r="I171" s="8" t="n">
        <f aca="false">INDEX(Reglas!$D$5:$D$8,MATCH(F171,Reglas!$A$5:$A$8,1))</f>
        <v>1155</v>
      </c>
      <c r="J171" s="9" t="n">
        <f aca="false">IF(H171="",MAX(F171*(1+G171),I171),F171*(1+H171))</f>
        <v>1472.7945</v>
      </c>
      <c r="K171" s="10" t="n">
        <f aca="false">IF(J171&lt;1000,CEILING(J171,10)-1,CEILING(J171,50)-1)</f>
        <v>1499</v>
      </c>
      <c r="L171" s="9" t="n">
        <f aca="false">K171-F171</f>
        <v>548.81</v>
      </c>
      <c r="M171" s="11" t="n">
        <f aca="false">IF(K171=0,"",L171/K171)</f>
        <v>0.366117411607739</v>
      </c>
      <c r="N171" s="11" t="n">
        <f aca="false">IF(F171=0,"",K171/F171-1)</f>
        <v>0.577579220997906</v>
      </c>
    </row>
    <row r="172" customFormat="false" ht="15" hidden="false" customHeight="false" outlineLevel="0" collapsed="false">
      <c r="A172" s="4" t="n">
        <v>168</v>
      </c>
      <c r="B172" s="4" t="s">
        <v>342</v>
      </c>
      <c r="C172" s="4" t="s">
        <v>356</v>
      </c>
      <c r="D172" s="4" t="s">
        <v>359</v>
      </c>
      <c r="E172" s="4" t="s">
        <v>360</v>
      </c>
      <c r="F172" s="5" t="n">
        <v>978.67</v>
      </c>
      <c r="G172" s="6" t="n">
        <f aca="false">INDEX(Reglas!$C$5:$C$8,MATCH(F172,Reglas!$A$5:$A$8,1))</f>
        <v>0.55</v>
      </c>
      <c r="H172" s="7"/>
      <c r="I172" s="8" t="n">
        <f aca="false">INDEX(Reglas!$D$5:$D$8,MATCH(F172,Reglas!$A$5:$A$8,1))</f>
        <v>1155</v>
      </c>
      <c r="J172" s="9" t="n">
        <f aca="false">IF(H172="",MAX(F172*(1+G172),I172),F172*(1+H172))</f>
        <v>1516.9385</v>
      </c>
      <c r="K172" s="10" t="n">
        <f aca="false">IF(J172&lt;1000,CEILING(J172,10)-1,CEILING(J172,50)-1)</f>
        <v>1549</v>
      </c>
      <c r="L172" s="9" t="n">
        <f aca="false">K172-F172</f>
        <v>570.33</v>
      </c>
      <c r="M172" s="11" t="n">
        <f aca="false">IF(K172=0,"",L172/K172)</f>
        <v>0.368192382182053</v>
      </c>
      <c r="N172" s="11" t="n">
        <f aca="false">IF(F172=0,"",K172/F172-1)</f>
        <v>0.582760276702055</v>
      </c>
    </row>
    <row r="173" customFormat="false" ht="15" hidden="false" customHeight="false" outlineLevel="0" collapsed="false">
      <c r="A173" s="4" t="n">
        <v>169</v>
      </c>
      <c r="B173" s="4" t="s">
        <v>342</v>
      </c>
      <c r="C173" s="4" t="s">
        <v>356</v>
      </c>
      <c r="D173" s="4" t="s">
        <v>361</v>
      </c>
      <c r="E173" s="4" t="s">
        <v>362</v>
      </c>
      <c r="F173" s="5" t="n">
        <v>1608.09</v>
      </c>
      <c r="G173" s="6" t="n">
        <f aca="false">INDEX(Reglas!$C$5:$C$8,MATCH(F173,Reglas!$A$5:$A$8,1))</f>
        <v>0.45</v>
      </c>
      <c r="H173" s="7"/>
      <c r="I173" s="8" t="n">
        <f aca="false">INDEX(Reglas!$D$5:$D$8,MATCH(F173,Reglas!$A$5:$A$8,1))</f>
        <v>1860</v>
      </c>
      <c r="J173" s="9" t="n">
        <f aca="false">IF(H173="",MAX(F173*(1+G173),I173),F173*(1+H173))</f>
        <v>2331.7305</v>
      </c>
      <c r="K173" s="10" t="n">
        <f aca="false">IF(J173&lt;1000,CEILING(J173,10)-1,CEILING(J173,50)-1)</f>
        <v>2349</v>
      </c>
      <c r="L173" s="9" t="n">
        <f aca="false">K173-F173</f>
        <v>740.91</v>
      </c>
      <c r="M173" s="11" t="n">
        <f aca="false">IF(K173=0,"",L173/K173)</f>
        <v>0.315415070242656</v>
      </c>
      <c r="N173" s="11" t="n">
        <f aca="false">IF(F173=0,"",K173/F173-1)</f>
        <v>0.460739137734828</v>
      </c>
    </row>
    <row r="174" customFormat="false" ht="15" hidden="false" customHeight="false" outlineLevel="0" collapsed="false">
      <c r="A174" s="4" t="n">
        <v>170</v>
      </c>
      <c r="B174" s="4" t="s">
        <v>342</v>
      </c>
      <c r="C174" s="4" t="s">
        <v>356</v>
      </c>
      <c r="D174" s="4" t="s">
        <v>363</v>
      </c>
      <c r="E174" s="4" t="s">
        <v>364</v>
      </c>
      <c r="F174" s="5" t="n">
        <v>1645.59</v>
      </c>
      <c r="G174" s="6" t="n">
        <f aca="false">INDEX(Reglas!$C$5:$C$8,MATCH(F174,Reglas!$A$5:$A$8,1))</f>
        <v>0.45</v>
      </c>
      <c r="H174" s="7"/>
      <c r="I174" s="8" t="n">
        <f aca="false">INDEX(Reglas!$D$5:$D$8,MATCH(F174,Reglas!$A$5:$A$8,1))</f>
        <v>1860</v>
      </c>
      <c r="J174" s="9" t="n">
        <f aca="false">IF(H174="",MAX(F174*(1+G174),I174),F174*(1+H174))</f>
        <v>2386.1055</v>
      </c>
      <c r="K174" s="10" t="n">
        <f aca="false">IF(J174&lt;1000,CEILING(J174,10)-1,CEILING(J174,50)-1)</f>
        <v>2399</v>
      </c>
      <c r="L174" s="9" t="n">
        <f aca="false">K174-F174</f>
        <v>753.41</v>
      </c>
      <c r="M174" s="11" t="n">
        <f aca="false">IF(K174=0,"",L174/K174)</f>
        <v>0.314051688203418</v>
      </c>
      <c r="N174" s="11" t="n">
        <f aca="false">IF(F174=0,"",K174/F174-1)</f>
        <v>0.457835791418276</v>
      </c>
    </row>
    <row r="175" customFormat="false" ht="15" hidden="false" customHeight="false" outlineLevel="0" collapsed="false">
      <c r="A175" s="4" t="n">
        <v>171</v>
      </c>
      <c r="B175" s="4" t="s">
        <v>342</v>
      </c>
      <c r="C175" s="4" t="s">
        <v>365</v>
      </c>
      <c r="D175" s="4" t="s">
        <v>366</v>
      </c>
      <c r="E175" s="4" t="s">
        <v>367</v>
      </c>
      <c r="F175" s="5" t="n">
        <v>321.42</v>
      </c>
      <c r="G175" s="6" t="n">
        <f aca="false">INDEX(Reglas!$C$5:$C$8,MATCH(F175,Reglas!$A$5:$A$8,1))</f>
        <v>0.65</v>
      </c>
      <c r="H175" s="7"/>
      <c r="I175" s="8" t="n">
        <f aca="false">INDEX(Reglas!$D$5:$D$8,MATCH(F175,Reglas!$A$5:$A$8,1))</f>
        <v>540</v>
      </c>
      <c r="J175" s="9" t="n">
        <f aca="false">IF(H175="",MAX(F175*(1+G175),I175),F175*(1+H175))</f>
        <v>540</v>
      </c>
      <c r="K175" s="10" t="n">
        <f aca="false">IF(J175&lt;1000,CEILING(J175,10)-1,CEILING(J175,50)-1)</f>
        <v>539</v>
      </c>
      <c r="L175" s="9" t="n">
        <f aca="false">K175-F175</f>
        <v>217.58</v>
      </c>
      <c r="M175" s="11" t="n">
        <f aca="false">IF(K175=0,"",L175/K175)</f>
        <v>0.403673469387755</v>
      </c>
      <c r="N175" s="11" t="n">
        <f aca="false">IF(F175=0,"",K175/F175-1)</f>
        <v>0.676933607118412</v>
      </c>
    </row>
    <row r="176" customFormat="false" ht="15" hidden="false" customHeight="false" outlineLevel="0" collapsed="false">
      <c r="A176" s="4" t="n">
        <v>172</v>
      </c>
      <c r="B176" s="4" t="s">
        <v>342</v>
      </c>
      <c r="C176" s="4" t="s">
        <v>365</v>
      </c>
      <c r="D176" s="4" t="s">
        <v>368</v>
      </c>
      <c r="E176" s="4" t="s">
        <v>369</v>
      </c>
      <c r="F176" s="5" t="n">
        <v>321.42</v>
      </c>
      <c r="G176" s="6" t="n">
        <f aca="false">INDEX(Reglas!$C$5:$C$8,MATCH(F176,Reglas!$A$5:$A$8,1))</f>
        <v>0.65</v>
      </c>
      <c r="H176" s="7"/>
      <c r="I176" s="8" t="n">
        <f aca="false">INDEX(Reglas!$D$5:$D$8,MATCH(F176,Reglas!$A$5:$A$8,1))</f>
        <v>540</v>
      </c>
      <c r="J176" s="9" t="n">
        <f aca="false">IF(H176="",MAX(F176*(1+G176),I176),F176*(1+H176))</f>
        <v>540</v>
      </c>
      <c r="K176" s="10" t="n">
        <f aca="false">IF(J176&lt;1000,CEILING(J176,10)-1,CEILING(J176,50)-1)</f>
        <v>539</v>
      </c>
      <c r="L176" s="9" t="n">
        <f aca="false">K176-F176</f>
        <v>217.58</v>
      </c>
      <c r="M176" s="11" t="n">
        <f aca="false">IF(K176=0,"",L176/K176)</f>
        <v>0.403673469387755</v>
      </c>
      <c r="N176" s="11" t="n">
        <f aca="false">IF(F176=0,"",K176/F176-1)</f>
        <v>0.676933607118412</v>
      </c>
    </row>
    <row r="177" customFormat="false" ht="15" hidden="false" customHeight="false" outlineLevel="0" collapsed="false">
      <c r="A177" s="4" t="n">
        <v>173</v>
      </c>
      <c r="B177" s="4" t="s">
        <v>342</v>
      </c>
      <c r="C177" s="4" t="s">
        <v>365</v>
      </c>
      <c r="D177" s="4" t="s">
        <v>370</v>
      </c>
      <c r="E177" s="4" t="s">
        <v>371</v>
      </c>
      <c r="F177" s="5" t="n">
        <v>823.36</v>
      </c>
      <c r="G177" s="6" t="n">
        <f aca="false">INDEX(Reglas!$C$5:$C$8,MATCH(F177,Reglas!$A$5:$A$8,1))</f>
        <v>0.55</v>
      </c>
      <c r="H177" s="7"/>
      <c r="I177" s="8" t="n">
        <f aca="false">INDEX(Reglas!$D$5:$D$8,MATCH(F177,Reglas!$A$5:$A$8,1))</f>
        <v>1155</v>
      </c>
      <c r="J177" s="9" t="n">
        <f aca="false">IF(H177="",MAX(F177*(1+G177),I177),F177*(1+H177))</f>
        <v>1276.208</v>
      </c>
      <c r="K177" s="10" t="n">
        <f aca="false">IF(J177&lt;1000,CEILING(J177,10)-1,CEILING(J177,50)-1)</f>
        <v>1299</v>
      </c>
      <c r="L177" s="9" t="n">
        <f aca="false">K177-F177</f>
        <v>475.64</v>
      </c>
      <c r="M177" s="11" t="n">
        <f aca="false">IF(K177=0,"",L177/K177)</f>
        <v>0.366158583525789</v>
      </c>
      <c r="N177" s="11" t="n">
        <f aca="false">IF(F177=0,"",K177/F177-1)</f>
        <v>0.577681694520016</v>
      </c>
    </row>
    <row r="178" customFormat="false" ht="15" hidden="false" customHeight="false" outlineLevel="0" collapsed="false">
      <c r="A178" s="4" t="n">
        <v>174</v>
      </c>
      <c r="B178" s="4" t="s">
        <v>342</v>
      </c>
      <c r="C178" s="4" t="s">
        <v>372</v>
      </c>
      <c r="D178" s="4" t="s">
        <v>373</v>
      </c>
      <c r="E178" s="4" t="s">
        <v>374</v>
      </c>
      <c r="F178" s="5" t="n">
        <v>177.68</v>
      </c>
      <c r="G178" s="6" t="n">
        <f aca="false">INDEX(Reglas!$C$5:$C$8,MATCH(F178,Reglas!$A$5:$A$8,1))</f>
        <v>0.8</v>
      </c>
      <c r="H178" s="7"/>
      <c r="I178" s="8" t="n">
        <f aca="false">INDEX(Reglas!$D$5:$D$8,MATCH(F178,Reglas!$A$5:$A$8,1))</f>
        <v>0</v>
      </c>
      <c r="J178" s="9" t="n">
        <f aca="false">IF(H178="",MAX(F178*(1+G178),I178),F178*(1+H178))</f>
        <v>319.824</v>
      </c>
      <c r="K178" s="10" t="n">
        <f aca="false">IF(J178&lt;1000,CEILING(J178,10)-1,CEILING(J178,50)-1)</f>
        <v>319</v>
      </c>
      <c r="L178" s="9" t="n">
        <f aca="false">K178-F178</f>
        <v>141.32</v>
      </c>
      <c r="M178" s="11" t="n">
        <f aca="false">IF(K178=0,"",L178/K178)</f>
        <v>0.443009404388715</v>
      </c>
      <c r="N178" s="11" t="n">
        <f aca="false">IF(F178=0,"",K178/F178-1)</f>
        <v>0.795362449347141</v>
      </c>
    </row>
    <row r="179" customFormat="false" ht="15" hidden="false" customHeight="false" outlineLevel="0" collapsed="false">
      <c r="A179" s="4" t="n">
        <v>175</v>
      </c>
      <c r="B179" s="4" t="s">
        <v>342</v>
      </c>
      <c r="C179" s="4" t="s">
        <v>372</v>
      </c>
      <c r="D179" s="4" t="s">
        <v>375</v>
      </c>
      <c r="E179" s="4" t="s">
        <v>376</v>
      </c>
      <c r="F179" s="5" t="n">
        <v>305.32</v>
      </c>
      <c r="G179" s="6" t="n">
        <f aca="false">INDEX(Reglas!$C$5:$C$8,MATCH(F179,Reglas!$A$5:$A$8,1))</f>
        <v>0.65</v>
      </c>
      <c r="H179" s="7"/>
      <c r="I179" s="8" t="n">
        <f aca="false">INDEX(Reglas!$D$5:$D$8,MATCH(F179,Reglas!$A$5:$A$8,1))</f>
        <v>540</v>
      </c>
      <c r="J179" s="9" t="n">
        <f aca="false">IF(H179="",MAX(F179*(1+G179),I179),F179*(1+H179))</f>
        <v>540</v>
      </c>
      <c r="K179" s="10" t="n">
        <f aca="false">IF(J179&lt;1000,CEILING(J179,10)-1,CEILING(J179,50)-1)</f>
        <v>539</v>
      </c>
      <c r="L179" s="9" t="n">
        <f aca="false">K179-F179</f>
        <v>233.68</v>
      </c>
      <c r="M179" s="11" t="n">
        <f aca="false">IF(K179=0,"",L179/K179)</f>
        <v>0.433543599257885</v>
      </c>
      <c r="N179" s="11" t="n">
        <f aca="false">IF(F179=0,"",K179/F179-1)</f>
        <v>0.765360932791825</v>
      </c>
    </row>
    <row r="180" customFormat="false" ht="15" hidden="false" customHeight="false" outlineLevel="0" collapsed="false">
      <c r="A180" s="4" t="n">
        <v>176</v>
      </c>
      <c r="B180" s="4" t="s">
        <v>342</v>
      </c>
      <c r="C180" s="4" t="s">
        <v>372</v>
      </c>
      <c r="D180" s="4" t="s">
        <v>377</v>
      </c>
      <c r="E180" s="4" t="s">
        <v>378</v>
      </c>
      <c r="F180" s="5" t="n">
        <v>423.82</v>
      </c>
      <c r="G180" s="6" t="n">
        <f aca="false">INDEX(Reglas!$C$5:$C$8,MATCH(F180,Reglas!$A$5:$A$8,1))</f>
        <v>0.65</v>
      </c>
      <c r="H180" s="7"/>
      <c r="I180" s="8" t="n">
        <f aca="false">INDEX(Reglas!$D$5:$D$8,MATCH(F180,Reglas!$A$5:$A$8,1))</f>
        <v>540</v>
      </c>
      <c r="J180" s="9" t="n">
        <f aca="false">IF(H180="",MAX(F180*(1+G180),I180),F180*(1+H180))</f>
        <v>699.303</v>
      </c>
      <c r="K180" s="10" t="n">
        <f aca="false">IF(J180&lt;1000,CEILING(J180,10)-1,CEILING(J180,50)-1)</f>
        <v>699</v>
      </c>
      <c r="L180" s="9" t="n">
        <f aca="false">K180-F180</f>
        <v>275.18</v>
      </c>
      <c r="M180" s="11" t="n">
        <f aca="false">IF(K180=0,"",L180/K180)</f>
        <v>0.393676680972818</v>
      </c>
      <c r="N180" s="11" t="n">
        <f aca="false">IF(F180=0,"",K180/F180-1)</f>
        <v>0.649285073852107</v>
      </c>
    </row>
    <row r="181" customFormat="false" ht="15" hidden="false" customHeight="false" outlineLevel="0" collapsed="false">
      <c r="A181" s="4" t="n">
        <v>177</v>
      </c>
      <c r="B181" s="4" t="s">
        <v>342</v>
      </c>
      <c r="C181" s="4" t="s">
        <v>379</v>
      </c>
      <c r="D181" s="4" t="s">
        <v>380</v>
      </c>
      <c r="E181" s="4" t="s">
        <v>381</v>
      </c>
      <c r="F181" s="5" t="n">
        <v>436.23</v>
      </c>
      <c r="G181" s="6" t="n">
        <f aca="false">INDEX(Reglas!$C$5:$C$8,MATCH(F181,Reglas!$A$5:$A$8,1))</f>
        <v>0.65</v>
      </c>
      <c r="H181" s="7"/>
      <c r="I181" s="8" t="n">
        <f aca="false">INDEX(Reglas!$D$5:$D$8,MATCH(F181,Reglas!$A$5:$A$8,1))</f>
        <v>540</v>
      </c>
      <c r="J181" s="9" t="n">
        <f aca="false">IF(H181="",MAX(F181*(1+G181),I181),F181*(1+H181))</f>
        <v>719.7795</v>
      </c>
      <c r="K181" s="10" t="n">
        <f aca="false">IF(J181&lt;1000,CEILING(J181,10)-1,CEILING(J181,50)-1)</f>
        <v>719</v>
      </c>
      <c r="L181" s="9" t="n">
        <f aca="false">K181-F181</f>
        <v>282.77</v>
      </c>
      <c r="M181" s="11" t="n">
        <f aca="false">IF(K181=0,"",L181/K181)</f>
        <v>0.393282336578581</v>
      </c>
      <c r="N181" s="11" t="n">
        <f aca="false">IF(F181=0,"",K181/F181-1)</f>
        <v>0.648213098594778</v>
      </c>
    </row>
    <row r="182" customFormat="false" ht="15" hidden="false" customHeight="false" outlineLevel="0" collapsed="false">
      <c r="A182" s="4" t="n">
        <v>178</v>
      </c>
      <c r="B182" s="4" t="s">
        <v>342</v>
      </c>
      <c r="C182" s="4" t="s">
        <v>379</v>
      </c>
      <c r="D182" s="4" t="s">
        <v>382</v>
      </c>
      <c r="E182" s="4" t="s">
        <v>383</v>
      </c>
      <c r="F182" s="5" t="n">
        <v>509.54</v>
      </c>
      <c r="G182" s="6" t="n">
        <f aca="false">INDEX(Reglas!$C$5:$C$8,MATCH(F182,Reglas!$A$5:$A$8,1))</f>
        <v>0.65</v>
      </c>
      <c r="H182" s="7"/>
      <c r="I182" s="8" t="n">
        <f aca="false">INDEX(Reglas!$D$5:$D$8,MATCH(F182,Reglas!$A$5:$A$8,1))</f>
        <v>540</v>
      </c>
      <c r="J182" s="9" t="n">
        <f aca="false">IF(H182="",MAX(F182*(1+G182),I182),F182*(1+H182))</f>
        <v>840.741</v>
      </c>
      <c r="K182" s="10" t="n">
        <f aca="false">IF(J182&lt;1000,CEILING(J182,10)-1,CEILING(J182,50)-1)</f>
        <v>849</v>
      </c>
      <c r="L182" s="9" t="n">
        <f aca="false">K182-F182</f>
        <v>339.46</v>
      </c>
      <c r="M182" s="11" t="n">
        <f aca="false">IF(K182=0,"",L182/K182)</f>
        <v>0.399835100117786</v>
      </c>
      <c r="N182" s="11" t="n">
        <f aca="false">IF(F182=0,"",K182/F182-1)</f>
        <v>0.66620873729246</v>
      </c>
    </row>
    <row r="183" customFormat="false" ht="15" hidden="false" customHeight="false" outlineLevel="0" collapsed="false">
      <c r="A183" s="4" t="n">
        <v>179</v>
      </c>
      <c r="B183" s="4" t="s">
        <v>342</v>
      </c>
      <c r="C183" s="4" t="s">
        <v>384</v>
      </c>
      <c r="D183" s="4" t="s">
        <v>385</v>
      </c>
      <c r="E183" s="4" t="s">
        <v>386</v>
      </c>
      <c r="F183" s="5" t="n">
        <v>145.06</v>
      </c>
      <c r="G183" s="6" t="n">
        <f aca="false">INDEX(Reglas!$C$5:$C$8,MATCH(F183,Reglas!$A$5:$A$8,1))</f>
        <v>0.8</v>
      </c>
      <c r="H183" s="7"/>
      <c r="I183" s="8" t="n">
        <f aca="false">INDEX(Reglas!$D$5:$D$8,MATCH(F183,Reglas!$A$5:$A$8,1))</f>
        <v>0</v>
      </c>
      <c r="J183" s="9" t="n">
        <f aca="false">IF(H183="",MAX(F183*(1+G183),I183),F183*(1+H183))</f>
        <v>261.108</v>
      </c>
      <c r="K183" s="10" t="n">
        <f aca="false">IF(J183&lt;1000,CEILING(J183,10)-1,CEILING(J183,50)-1)</f>
        <v>269</v>
      </c>
      <c r="L183" s="9" t="n">
        <f aca="false">K183-F183</f>
        <v>123.94</v>
      </c>
      <c r="M183" s="11" t="n">
        <f aca="false">IF(K183=0,"",L183/K183)</f>
        <v>0.460743494423792</v>
      </c>
      <c r="N183" s="11" t="n">
        <f aca="false">IF(F183=0,"",K183/F183-1)</f>
        <v>0.854405073762581</v>
      </c>
    </row>
    <row r="184" customFormat="false" ht="15" hidden="false" customHeight="false" outlineLevel="0" collapsed="false">
      <c r="A184" s="4" t="n">
        <v>180</v>
      </c>
      <c r="B184" s="4" t="s">
        <v>342</v>
      </c>
      <c r="C184" s="4" t="s">
        <v>384</v>
      </c>
      <c r="D184" s="4" t="s">
        <v>387</v>
      </c>
      <c r="E184" s="4" t="s">
        <v>388</v>
      </c>
      <c r="F184" s="5" t="n">
        <v>157.44</v>
      </c>
      <c r="G184" s="6" t="n">
        <f aca="false">INDEX(Reglas!$C$5:$C$8,MATCH(F184,Reglas!$A$5:$A$8,1))</f>
        <v>0.8</v>
      </c>
      <c r="H184" s="7"/>
      <c r="I184" s="8" t="n">
        <f aca="false">INDEX(Reglas!$D$5:$D$8,MATCH(F184,Reglas!$A$5:$A$8,1))</f>
        <v>0</v>
      </c>
      <c r="J184" s="9" t="n">
        <f aca="false">IF(H184="",MAX(F184*(1+G184),I184),F184*(1+H184))</f>
        <v>283.392</v>
      </c>
      <c r="K184" s="10" t="n">
        <f aca="false">IF(J184&lt;1000,CEILING(J184,10)-1,CEILING(J184,50)-1)</f>
        <v>289</v>
      </c>
      <c r="L184" s="9" t="n">
        <f aca="false">K184-F184</f>
        <v>131.56</v>
      </c>
      <c r="M184" s="11" t="n">
        <f aca="false">IF(K184=0,"",L184/K184)</f>
        <v>0.45522491349481</v>
      </c>
      <c r="N184" s="11" t="n">
        <f aca="false">IF(F184=0,"",K184/F184-1)</f>
        <v>0.835619918699187</v>
      </c>
    </row>
    <row r="185" customFormat="false" ht="15" hidden="false" customHeight="false" outlineLevel="0" collapsed="false">
      <c r="A185" s="4" t="n">
        <v>181</v>
      </c>
      <c r="B185" s="4" t="s">
        <v>342</v>
      </c>
      <c r="C185" s="4" t="s">
        <v>384</v>
      </c>
      <c r="D185" s="4" t="s">
        <v>389</v>
      </c>
      <c r="E185" s="4" t="s">
        <v>390</v>
      </c>
      <c r="F185" s="5" t="n">
        <v>327.59</v>
      </c>
      <c r="G185" s="6" t="n">
        <f aca="false">INDEX(Reglas!$C$5:$C$8,MATCH(F185,Reglas!$A$5:$A$8,1))</f>
        <v>0.65</v>
      </c>
      <c r="H185" s="7"/>
      <c r="I185" s="8" t="n">
        <f aca="false">INDEX(Reglas!$D$5:$D$8,MATCH(F185,Reglas!$A$5:$A$8,1))</f>
        <v>540</v>
      </c>
      <c r="J185" s="9" t="n">
        <f aca="false">IF(H185="",MAX(F185*(1+G185),I185),F185*(1+H185))</f>
        <v>540.5235</v>
      </c>
      <c r="K185" s="10" t="n">
        <f aca="false">IF(J185&lt;1000,CEILING(J185,10)-1,CEILING(J185,50)-1)</f>
        <v>549</v>
      </c>
      <c r="L185" s="9" t="n">
        <f aca="false">K185-F185</f>
        <v>221.41</v>
      </c>
      <c r="M185" s="11" t="n">
        <f aca="false">IF(K185=0,"",L185/K185)</f>
        <v>0.403296903460838</v>
      </c>
      <c r="N185" s="11" t="n">
        <f aca="false">IF(F185=0,"",K185/F185-1)</f>
        <v>0.675875331969841</v>
      </c>
    </row>
    <row r="186" customFormat="false" ht="15" hidden="false" customHeight="false" outlineLevel="0" collapsed="false">
      <c r="A186" s="4" t="n">
        <v>182</v>
      </c>
      <c r="B186" s="4" t="s">
        <v>342</v>
      </c>
      <c r="C186" s="4" t="s">
        <v>384</v>
      </c>
      <c r="D186" s="4" t="s">
        <v>391</v>
      </c>
      <c r="E186" s="4" t="s">
        <v>392</v>
      </c>
      <c r="F186" s="5" t="n">
        <v>416.39</v>
      </c>
      <c r="G186" s="6" t="n">
        <f aca="false">INDEX(Reglas!$C$5:$C$8,MATCH(F186,Reglas!$A$5:$A$8,1))</f>
        <v>0.65</v>
      </c>
      <c r="H186" s="7"/>
      <c r="I186" s="8" t="n">
        <f aca="false">INDEX(Reglas!$D$5:$D$8,MATCH(F186,Reglas!$A$5:$A$8,1))</f>
        <v>540</v>
      </c>
      <c r="J186" s="9" t="n">
        <f aca="false">IF(H186="",MAX(F186*(1+G186),I186),F186*(1+H186))</f>
        <v>687.0435</v>
      </c>
      <c r="K186" s="10" t="n">
        <f aca="false">IF(J186&lt;1000,CEILING(J186,10)-1,CEILING(J186,50)-1)</f>
        <v>689</v>
      </c>
      <c r="L186" s="9" t="n">
        <f aca="false">K186-F186</f>
        <v>272.61</v>
      </c>
      <c r="M186" s="11" t="n">
        <f aca="false">IF(K186=0,"",L186/K186)</f>
        <v>0.395660377358491</v>
      </c>
      <c r="N186" s="11" t="n">
        <f aca="false">IF(F186=0,"",K186/F186-1)</f>
        <v>0.654698719950047</v>
      </c>
    </row>
    <row r="187" customFormat="false" ht="15" hidden="false" customHeight="false" outlineLevel="0" collapsed="false">
      <c r="A187" s="4" t="n">
        <v>183</v>
      </c>
      <c r="B187" s="4" t="s">
        <v>342</v>
      </c>
      <c r="C187" s="4" t="s">
        <v>384</v>
      </c>
      <c r="D187" s="4" t="s">
        <v>393</v>
      </c>
      <c r="E187" s="4" t="s">
        <v>394</v>
      </c>
      <c r="F187" s="5" t="n">
        <v>496.84</v>
      </c>
      <c r="G187" s="6" t="n">
        <f aca="false">INDEX(Reglas!$C$5:$C$8,MATCH(F187,Reglas!$A$5:$A$8,1))</f>
        <v>0.65</v>
      </c>
      <c r="H187" s="7"/>
      <c r="I187" s="8" t="n">
        <f aca="false">INDEX(Reglas!$D$5:$D$8,MATCH(F187,Reglas!$A$5:$A$8,1))</f>
        <v>540</v>
      </c>
      <c r="J187" s="9" t="n">
        <f aca="false">IF(H187="",MAX(F187*(1+G187),I187),F187*(1+H187))</f>
        <v>819.786</v>
      </c>
      <c r="K187" s="10" t="n">
        <f aca="false">IF(J187&lt;1000,CEILING(J187,10)-1,CEILING(J187,50)-1)</f>
        <v>819</v>
      </c>
      <c r="L187" s="9" t="n">
        <f aca="false">K187-F187</f>
        <v>322.16</v>
      </c>
      <c r="M187" s="11" t="n">
        <f aca="false">IF(K187=0,"",L187/K187)</f>
        <v>0.393357753357753</v>
      </c>
      <c r="N187" s="11" t="n">
        <f aca="false">IF(F187=0,"",K187/F187-1)</f>
        <v>0.648418001771194</v>
      </c>
    </row>
    <row r="188" customFormat="false" ht="15" hidden="false" customHeight="false" outlineLevel="0" collapsed="false">
      <c r="A188" s="4" t="n">
        <v>184</v>
      </c>
      <c r="B188" s="4" t="s">
        <v>342</v>
      </c>
      <c r="C188" s="4" t="s">
        <v>384</v>
      </c>
      <c r="D188" s="4" t="s">
        <v>395</v>
      </c>
      <c r="E188" s="4" t="s">
        <v>396</v>
      </c>
      <c r="F188" s="5" t="n">
        <v>1405.86</v>
      </c>
      <c r="G188" s="6" t="n">
        <f aca="false">INDEX(Reglas!$C$5:$C$8,MATCH(F188,Reglas!$A$5:$A$8,1))</f>
        <v>0.45</v>
      </c>
      <c r="H188" s="7"/>
      <c r="I188" s="8" t="n">
        <f aca="false">INDEX(Reglas!$D$5:$D$8,MATCH(F188,Reglas!$A$5:$A$8,1))</f>
        <v>1860</v>
      </c>
      <c r="J188" s="9" t="n">
        <f aca="false">IF(H188="",MAX(F188*(1+G188),I188),F188*(1+H188))</f>
        <v>2038.497</v>
      </c>
      <c r="K188" s="10" t="n">
        <f aca="false">IF(J188&lt;1000,CEILING(J188,10)-1,CEILING(J188,50)-1)</f>
        <v>2049</v>
      </c>
      <c r="L188" s="9" t="n">
        <f aca="false">K188-F188</f>
        <v>643.14</v>
      </c>
      <c r="M188" s="11" t="n">
        <f aca="false">IF(K188=0,"",L188/K188)</f>
        <v>0.313879941434846</v>
      </c>
      <c r="N188" s="11" t="n">
        <f aca="false">IF(F188=0,"",K188/F188-1)</f>
        <v>0.457470871921813</v>
      </c>
    </row>
    <row r="189" customFormat="false" ht="15" hidden="false" customHeight="false" outlineLevel="0" collapsed="false">
      <c r="A189" s="12"/>
      <c r="B189" s="12"/>
      <c r="C189" s="12"/>
      <c r="D189" s="12"/>
      <c r="E189" s="13" t="s">
        <v>397</v>
      </c>
      <c r="F189" s="14" t="n">
        <f aca="false">SUM(F5:F188)</f>
        <v>97749.05</v>
      </c>
      <c r="G189" s="12"/>
      <c r="H189" s="12"/>
      <c r="I189" s="12"/>
      <c r="J189" s="12"/>
      <c r="K189" s="15" t="n">
        <f aca="false">SUM(K5:K188)</f>
        <v>156516</v>
      </c>
      <c r="L189" s="14" t="n">
        <f aca="false">SUM(L5:L188)</f>
        <v>58766.95</v>
      </c>
      <c r="M189" s="16" t="n">
        <f aca="false">IF(K189=0,"",L189/K189)</f>
        <v>0.375469281095862</v>
      </c>
      <c r="N189" s="12"/>
    </row>
  </sheetData>
  <autoFilter ref="A4:N18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398</v>
      </c>
    </row>
    <row r="3" customFormat="false" ht="31.5" hidden="false" customHeight="true" outlineLevel="0" collapsed="false">
      <c r="A3" s="3" t="s">
        <v>3</v>
      </c>
      <c r="B3" s="3" t="s">
        <v>399</v>
      </c>
      <c r="C3" s="3" t="s">
        <v>400</v>
      </c>
      <c r="D3" s="3" t="s">
        <v>401</v>
      </c>
      <c r="E3" s="3" t="s">
        <v>402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COUNTIF(Precios!$B$5:$B$188,A4)</f>
        <v>160</v>
      </c>
      <c r="C4" s="18" t="n">
        <f aca="false">SUMIF(Precios!$B$5:$B$188,A4,Precios!$F$5:$F$188)</f>
        <v>83671.07</v>
      </c>
      <c r="D4" s="19" t="n">
        <f aca="false">SUMIF(Precios!$B$5:$B$188,A4,Precios!$K$5:$K$188)</f>
        <v>134200</v>
      </c>
      <c r="E4" s="18" t="n">
        <f aca="false">SUMIF(Precios!$B$5:$B$188,A4,Precios!$L$5:$L$188)</f>
        <v>50528.93</v>
      </c>
      <c r="F4" s="20" t="n">
        <f aca="false">IF(D4=0,"",E4/D4)</f>
        <v>0.376519597615499</v>
      </c>
    </row>
    <row r="5" customFormat="false" ht="15" hidden="false" customHeight="false" outlineLevel="0" collapsed="false">
      <c r="A5" s="17" t="s">
        <v>342</v>
      </c>
      <c r="B5" s="17" t="n">
        <f aca="false">COUNTIF(Precios!$B$5:$B$188,A5)</f>
        <v>24</v>
      </c>
      <c r="C5" s="18" t="n">
        <f aca="false">SUMIF(Precios!$B$5:$B$188,A5,Precios!$F$5:$F$188)</f>
        <v>14077.98</v>
      </c>
      <c r="D5" s="19" t="n">
        <f aca="false">SUMIF(Precios!$B$5:$B$188,A5,Precios!$K$5:$K$188)</f>
        <v>22316</v>
      </c>
      <c r="E5" s="18" t="n">
        <f aca="false">SUMIF(Precios!$B$5:$B$188,A5,Precios!$L$5:$L$188)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403</v>
      </c>
      <c r="B6" s="13" t="n">
        <f aca="false">SUM(B4:B5)</f>
        <v>184</v>
      </c>
      <c r="C6" s="14" t="n">
        <f aca="false">SUM(C4:C5)</f>
        <v>97749.05</v>
      </c>
      <c r="D6" s="15" t="n">
        <f aca="false">SUM(D4:D5)</f>
        <v>156516</v>
      </c>
      <c r="E6" s="14" t="n">
        <f aca="false">SUM(E4:E5)</f>
        <v>58766.95</v>
      </c>
      <c r="F6" s="16" t="n">
        <f aca="false">IF(D6=0,"",E6/D6)</f>
        <v>0.375469281095862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1" t="s">
        <v>405</v>
      </c>
    </row>
    <row r="4" customFormat="false" ht="31.5" hidden="false" customHeight="true" outlineLevel="0" collapsed="false">
      <c r="A4" s="3" t="s">
        <v>406</v>
      </c>
      <c r="B4" s="3" t="s">
        <v>407</v>
      </c>
      <c r="C4" s="3" t="s">
        <v>408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409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410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411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412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413</v>
      </c>
    </row>
    <row r="11" customFormat="false" ht="15" hidden="false" customHeight="false" outlineLevel="0" collapsed="false">
      <c r="A11" s="24" t="s">
        <v>414</v>
      </c>
    </row>
    <row r="12" customFormat="false" ht="15" hidden="false" customHeight="false" outlineLevel="0" collapsed="false">
      <c r="A12" s="24" t="s">
        <v>415</v>
      </c>
    </row>
    <row r="13" customFormat="false" ht="15" hidden="false" customHeight="false" outlineLevel="0" collapsed="false">
      <c r="A13" s="24" t="s">
        <v>416</v>
      </c>
    </row>
    <row r="14" customFormat="false" ht="15" hidden="false" customHeight="false" outlineLevel="0" collapsed="false">
      <c r="A14" s="24" t="s">
        <v>417</v>
      </c>
    </row>
    <row r="15" customFormat="false" ht="15" hidden="false" customHeight="false" outlineLevel="0" collapsed="false">
      <c r="A15" s="24" t="s">
        <v>418</v>
      </c>
    </row>
    <row r="16" customFormat="false" ht="15" hidden="false" customHeight="false" outlineLevel="0" collapsed="false">
      <c r="A16" s="24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420</v>
      </c>
    </row>
    <row r="3" customFormat="false" ht="19.5" hidden="false" customHeight="true" outlineLevel="0" collapsed="false">
      <c r="A3" s="3" t="s">
        <v>3</v>
      </c>
      <c r="B3" s="3" t="s">
        <v>421</v>
      </c>
      <c r="C3" s="3" t="s">
        <v>422</v>
      </c>
      <c r="D3" s="3" t="s">
        <v>423</v>
      </c>
    </row>
    <row r="4" customFormat="false" ht="15" hidden="false" customHeight="false" outlineLevel="0" collapsed="false">
      <c r="A4" s="17" t="s">
        <v>16</v>
      </c>
      <c r="B4" s="17" t="s">
        <v>424</v>
      </c>
      <c r="C4" s="25"/>
      <c r="D4" s="17" t="s">
        <v>425</v>
      </c>
    </row>
    <row r="5" customFormat="false" ht="15" hidden="false" customHeight="false" outlineLevel="0" collapsed="false">
      <c r="A5" s="17" t="s">
        <v>16</v>
      </c>
      <c r="B5" s="17" t="s">
        <v>426</v>
      </c>
      <c r="C5" s="25"/>
      <c r="D5" s="17" t="s">
        <v>425</v>
      </c>
    </row>
    <row r="6" customFormat="false" ht="15" hidden="false" customHeight="false" outlineLevel="0" collapsed="false">
      <c r="A6" s="17" t="s">
        <v>16</v>
      </c>
      <c r="B6" s="17" t="s">
        <v>427</v>
      </c>
      <c r="C6" s="25"/>
      <c r="D6" s="17" t="s">
        <v>425</v>
      </c>
    </row>
    <row r="7" customFormat="false" ht="15" hidden="false" customHeight="false" outlineLevel="0" collapsed="false">
      <c r="A7" s="17" t="s">
        <v>16</v>
      </c>
      <c r="B7" s="17" t="s">
        <v>428</v>
      </c>
      <c r="C7" s="25"/>
      <c r="D7" s="17" t="s">
        <v>425</v>
      </c>
    </row>
    <row r="8" customFormat="false" ht="15" hidden="false" customHeight="false" outlineLevel="0" collapsed="false">
      <c r="A8" s="17" t="s">
        <v>16</v>
      </c>
      <c r="B8" s="17" t="s">
        <v>429</v>
      </c>
      <c r="C8" s="25"/>
      <c r="D8" s="17" t="s">
        <v>425</v>
      </c>
    </row>
    <row r="9" customFormat="false" ht="15" hidden="false" customHeight="false" outlineLevel="0" collapsed="false">
      <c r="A9" s="17" t="s">
        <v>16</v>
      </c>
      <c r="B9" s="17" t="s">
        <v>430</v>
      </c>
      <c r="C9" s="25"/>
      <c r="D9" s="17" t="s">
        <v>425</v>
      </c>
    </row>
    <row r="10" customFormat="false" ht="15" hidden="false" customHeight="false" outlineLevel="0" collapsed="false">
      <c r="A10" s="17" t="s">
        <v>16</v>
      </c>
      <c r="B10" s="17" t="s">
        <v>431</v>
      </c>
      <c r="C10" s="25" t="n">
        <v>192.61</v>
      </c>
      <c r="D10" s="17" t="s">
        <v>432</v>
      </c>
    </row>
    <row r="11" customFormat="false" ht="15" hidden="false" customHeight="false" outlineLevel="0" collapsed="false">
      <c r="A11" s="17" t="s">
        <v>16</v>
      </c>
      <c r="B11" s="17" t="s">
        <v>433</v>
      </c>
      <c r="C11" s="25" t="n">
        <v>266.06</v>
      </c>
      <c r="D11" s="17" t="s">
        <v>432</v>
      </c>
    </row>
    <row r="12" customFormat="false" ht="15" hidden="false" customHeight="false" outlineLevel="0" collapsed="false">
      <c r="A12" s="17" t="s">
        <v>16</v>
      </c>
      <c r="B12" s="17" t="s">
        <v>434</v>
      </c>
      <c r="C12" s="25"/>
      <c r="D12" s="17" t="s">
        <v>425</v>
      </c>
    </row>
    <row r="13" customFormat="false" ht="15" hidden="false" customHeight="false" outlineLevel="0" collapsed="false">
      <c r="A13" s="17" t="s">
        <v>16</v>
      </c>
      <c r="B13" s="17" t="s">
        <v>435</v>
      </c>
      <c r="C13" s="25"/>
      <c r="D13" s="17" t="s">
        <v>425</v>
      </c>
    </row>
    <row r="14" customFormat="false" ht="15" hidden="false" customHeight="false" outlineLevel="0" collapsed="false">
      <c r="A14" s="17" t="s">
        <v>16</v>
      </c>
      <c r="B14" s="17" t="s">
        <v>436</v>
      </c>
      <c r="C14" s="25"/>
      <c r="D14" s="17" t="s">
        <v>425</v>
      </c>
    </row>
    <row r="15" customFormat="false" ht="15" hidden="false" customHeight="false" outlineLevel="0" collapsed="false">
      <c r="A15" s="17" t="s">
        <v>16</v>
      </c>
      <c r="B15" s="17" t="s">
        <v>437</v>
      </c>
      <c r="C15" s="25"/>
      <c r="D15" s="17" t="s">
        <v>425</v>
      </c>
    </row>
    <row r="16" customFormat="false" ht="15" hidden="false" customHeight="false" outlineLevel="0" collapsed="false">
      <c r="A16" s="17" t="s">
        <v>16</v>
      </c>
      <c r="B16" s="17" t="s">
        <v>438</v>
      </c>
      <c r="C16" s="25"/>
      <c r="D16" s="17" t="s">
        <v>425</v>
      </c>
    </row>
    <row r="17" customFormat="false" ht="15" hidden="false" customHeight="false" outlineLevel="0" collapsed="false">
      <c r="A17" s="17" t="s">
        <v>342</v>
      </c>
      <c r="B17" s="17" t="s">
        <v>439</v>
      </c>
      <c r="C17" s="25"/>
      <c r="D17" s="17" t="s">
        <v>425</v>
      </c>
    </row>
    <row r="18" customFormat="false" ht="15" hidden="false" customHeight="false" outlineLevel="0" collapsed="false">
      <c r="A18" s="17" t="s">
        <v>342</v>
      </c>
      <c r="B18" s="17" t="s">
        <v>440</v>
      </c>
      <c r="C18" s="25" t="n">
        <v>239.56</v>
      </c>
      <c r="D18" s="17" t="s">
        <v>432</v>
      </c>
    </row>
    <row r="19" customFormat="false" ht="15" hidden="false" customHeight="false" outlineLevel="0" collapsed="false">
      <c r="A19" s="17" t="s">
        <v>342</v>
      </c>
      <c r="B19" s="17" t="s">
        <v>440</v>
      </c>
      <c r="C19" s="25" t="n">
        <v>556.04</v>
      </c>
      <c r="D19" s="17" t="s">
        <v>432</v>
      </c>
    </row>
    <row r="20" customFormat="false" ht="15" hidden="false" customHeight="false" outlineLevel="0" collapsed="false">
      <c r="A20" s="17" t="s">
        <v>16</v>
      </c>
      <c r="B20" s="17" t="s">
        <v>441</v>
      </c>
      <c r="C20" s="25" t="n">
        <v>197.64</v>
      </c>
      <c r="D20" s="17" t="s">
        <v>442</v>
      </c>
    </row>
    <row r="21" customFormat="false" ht="15" hidden="false" customHeight="false" outlineLevel="0" collapsed="false">
      <c r="A21" s="17" t="s">
        <v>16</v>
      </c>
      <c r="B21" s="17" t="s">
        <v>443</v>
      </c>
      <c r="C21" s="25" t="n">
        <v>522.4</v>
      </c>
      <c r="D21" s="17" t="s">
        <v>444</v>
      </c>
    </row>
    <row r="22" customFormat="false" ht="15" hidden="false" customHeight="false" outlineLevel="0" collapsed="false">
      <c r="A22" s="17" t="s">
        <v>16</v>
      </c>
      <c r="B22" s="17" t="s">
        <v>445</v>
      </c>
      <c r="C22" s="25" t="n">
        <v>336.49</v>
      </c>
      <c r="D22" s="17" t="s">
        <v>446</v>
      </c>
    </row>
    <row r="23" customFormat="false" ht="15" hidden="false" customHeight="false" outlineLevel="0" collapsed="false">
      <c r="A23" s="17" t="s">
        <v>16</v>
      </c>
      <c r="B23" s="17" t="s">
        <v>447</v>
      </c>
      <c r="C23" s="25" t="n">
        <v>133.33</v>
      </c>
      <c r="D23" s="17" t="s">
        <v>448</v>
      </c>
    </row>
    <row r="24" customFormat="false" ht="15" hidden="false" customHeight="false" outlineLevel="0" collapsed="false">
      <c r="A24" s="17" t="s">
        <v>16</v>
      </c>
      <c r="B24" s="17" t="s">
        <v>449</v>
      </c>
      <c r="C24" s="25" t="n">
        <v>219.21</v>
      </c>
      <c r="D24" s="17" t="s">
        <v>450</v>
      </c>
    </row>
    <row r="26" customFormat="false" ht="15" hidden="false" customHeight="false" outlineLevel="0" collapsed="false">
      <c r="A26" s="21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2026-10-31T17:58:01Z</dcterms:created>
  <dc:creator>openpyxl</dc:creator>
  <dc:description/>
  <dc:language>en-US</dc:language>
  <cp:lastModifiedBy/>
  <dcterms:modified xsi:type="dcterms:W3CDTF">2026-10-31T17:58:01Z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