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cios" sheetId="1" state="visible" r:id="rId3"/>
    <sheet name="Resumen" sheetId="2" state="visible" r:id="rId4"/>
    <sheet name="Reglas" sheetId="3" state="visible" r:id="rId5"/>
    <sheet name="Pendientes" sheetId="4" state="visible" r:id="rId6"/>
  </sheets>
  <definedNames>
    <definedName function="false" hidden="true" localSheetId="0" name="_xlnm._FilterDatabase" vbProcedure="false">Precios!$A$4:$N$43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44" authorId="0">
      <text>
        <r>
          <rPr>
            <sz val="10"/>
            <rFont val="Arial"/>
            <family val="2"/>
          </rPr>
          <t xml:space="preserve">Costos tomados de las capturas de la app 'Venta Empleado' que mandó el usuario.</t>
        </r>
      </text>
    </comment>
  </commentList>
</comments>
</file>

<file path=xl/sharedStrings.xml><?xml version="1.0" encoding="utf-8"?>
<sst xmlns="http://schemas.openxmlformats.org/spreadsheetml/2006/main" count="221" uniqueCount="139">
  <si>
    <t xml:space="preserve">Lista de precios interna (NO compartir con clientes)</t>
  </si>
  <si>
    <t xml:space="preserve">Azul = dato que puedes cambiar (costo). Amarillo = aumento manual opcional (ej. 0.70 = +70 %); si lo dejas vacío se usa la regla de la hoja 'Reglas'. Verde = viene de la hoja 'Reglas'. Negro = fórmula.</t>
  </si>
  <si>
    <t xml:space="preserve">#</t>
  </si>
  <si>
    <t xml:space="preserve">Pestaña app</t>
  </si>
  <si>
    <t xml:space="preserve">Categoría</t>
  </si>
  <si>
    <t xml:space="preserve">Producto (como sale en la app)</t>
  </si>
  <si>
    <t xml:space="preserve">Nombre en catálogo</t>
  </si>
  <si>
    <t xml:space="preserve">Costo (MXN)</t>
  </si>
  <si>
    <t xml:space="preserve">Aumento por regla</t>
  </si>
  <si>
    <t xml:space="preserve">Aumento manual (opcional)</t>
  </si>
  <si>
    <t xml:space="preserve">Precio mínimo del rango (MXN)</t>
  </si>
  <si>
    <t xml:space="preserve">Precio sin redondear (MXN)</t>
  </si>
  <si>
    <t xml:space="preserve">Precio de venta (MXN)</t>
  </si>
  <si>
    <t xml:space="preserve">Ganancia por pieza (MXN)</t>
  </si>
  <si>
    <t xml:space="preserve">Margen sobre venta</t>
  </si>
  <si>
    <t xml:space="preserve">Aumento real</t>
  </si>
  <si>
    <t xml:space="preserve">CW &amp; BW</t>
  </si>
  <si>
    <t xml:space="preserve">Sartenes</t>
  </si>
  <si>
    <t xml:space="preserve">SARTEN 20 CM RJ CHARACTER</t>
  </si>
  <si>
    <t xml:space="preserve">Sartén Character Roja 20 cm</t>
  </si>
  <si>
    <t xml:space="preserve">SARTEN 20 CM RJ VITAL FR</t>
  </si>
  <si>
    <t xml:space="preserve">Sartén Vital Roja 20 cm</t>
  </si>
  <si>
    <t xml:space="preserve">SARTEN 28 CM RJ CHARACTER</t>
  </si>
  <si>
    <t xml:space="preserve">Sartén Character Roja 28 cm</t>
  </si>
  <si>
    <t xml:space="preserve">SARTEN 24 CM RJ VITAL FR</t>
  </si>
  <si>
    <t xml:space="preserve">Sartén Vital Roja 24 cm</t>
  </si>
  <si>
    <t xml:space="preserve">SARTEN 26 CM RJ VITAL FR</t>
  </si>
  <si>
    <t xml:space="preserve">Sartén Vital Roja 26 cm</t>
  </si>
  <si>
    <t xml:space="preserve">SARTEN 20 CM TRENDY TITANIUM</t>
  </si>
  <si>
    <t xml:space="preserve">Sartén Trendy Titanium 20 cm</t>
  </si>
  <si>
    <t xml:space="preserve">SARTEN 24 CM TRENDY TITANIUM</t>
  </si>
  <si>
    <t xml:space="preserve">Sartén Trendy Titanium 24 cm</t>
  </si>
  <si>
    <t xml:space="preserve">CREPERA 25 CM HARD TIT EXPERT</t>
  </si>
  <si>
    <t xml:space="preserve">Crepera Hard Titanium Expert 25 cm</t>
  </si>
  <si>
    <t xml:space="preserve">Juegos de sartenes</t>
  </si>
  <si>
    <t xml:space="preserve">JGO 20/24/28 CM ROJO CHARACTER</t>
  </si>
  <si>
    <t xml:space="preserve">Juego de 3 sartenes Character Rojo</t>
  </si>
  <si>
    <t xml:space="preserve">JGO 12/20/24/26 CM RJO VITAL</t>
  </si>
  <si>
    <t xml:space="preserve">Juego de 4 sartenes Vital Rojo</t>
  </si>
  <si>
    <t xml:space="preserve">JGO 20/24/28 CM BG TRENDY TITANIUM</t>
  </si>
  <si>
    <t xml:space="preserve">Juego de 3 sartenes Trendy Titanium Beige</t>
  </si>
  <si>
    <t xml:space="preserve">Baterías de cocina</t>
  </si>
  <si>
    <t xml:space="preserve">BAT 9 PZS LIC NEGRA SUPERCOOK V2</t>
  </si>
  <si>
    <t xml:space="preserve">Batería Supercook 9 piezas + licuadora</t>
  </si>
  <si>
    <t xml:space="preserve">SET 6P HARD TITANIUM + BLACK MX</t>
  </si>
  <si>
    <t xml:space="preserve">Set Hard Titanium+ Black 6 piezas</t>
  </si>
  <si>
    <t xml:space="preserve">BATERIA 17 PZS ROJA EASY CARE</t>
  </si>
  <si>
    <t xml:space="preserve">Batería Easy Care Roja 17 piezas</t>
  </si>
  <si>
    <t xml:space="preserve">T EXCITE NS BLUE 14 SET- 2018</t>
  </si>
  <si>
    <t xml:space="preserve">Batería Excite Azul 14 piezas</t>
  </si>
  <si>
    <t xml:space="preserve">Food Prep</t>
  </si>
  <si>
    <t xml:space="preserve">Licuadoras</t>
  </si>
  <si>
    <t xml:space="preserve">LIC INFINYFORCE XL 10v ROJA</t>
  </si>
  <si>
    <t xml:space="preserve">Licuadora Infinyforce XL Roja 10 vel.</t>
  </si>
  <si>
    <t xml:space="preserve">LIC INFINYFORCE XL 12V BL</t>
  </si>
  <si>
    <t xml:space="preserve">Licuadora Infinyforce XL Blanca 12 vel.</t>
  </si>
  <si>
    <t xml:space="preserve">LIC INFINYFORCE XL 12V RED</t>
  </si>
  <si>
    <t xml:space="preserve">Licuadora Infinyforce XL Roja 12 vel.</t>
  </si>
  <si>
    <t xml:space="preserve">LIC INFINYFORCE XL 14V NEGRA</t>
  </si>
  <si>
    <t xml:space="preserve">Licuadora Infinyforce XL Negra 14 vel.</t>
  </si>
  <si>
    <t xml:space="preserve">LIC ULTRAFORCE+ 2V MX</t>
  </si>
  <si>
    <t xml:space="preserve">Licuadora Ultraforce+ 2 vel.</t>
  </si>
  <si>
    <t xml:space="preserve">LIC ULTRAFORCE+ 8V MX</t>
  </si>
  <si>
    <t xml:space="preserve">Licuadora Ultraforce+ 8 vel.</t>
  </si>
  <si>
    <t xml:space="preserve">Licuadoras de alto rendimiento</t>
  </si>
  <si>
    <t xml:space="preserve">LIC. ULTRAFORCE PRO INOX</t>
  </si>
  <si>
    <t xml:space="preserve">Licuadora Ultraforce Pro Inox</t>
  </si>
  <si>
    <t xml:space="preserve">LIC. ULTRAFORCE PRO NEGRA</t>
  </si>
  <si>
    <t xml:space="preserve">Licuadora Ultraforce Pro Negra</t>
  </si>
  <si>
    <t xml:space="preserve">LIC. INFINYMIX</t>
  </si>
  <si>
    <t xml:space="preserve">Licuadora Infinymix</t>
  </si>
  <si>
    <t xml:space="preserve">LIC. ULTRAFORCE COOK</t>
  </si>
  <si>
    <t xml:space="preserve">Licuadora Ultraforce Cook</t>
  </si>
  <si>
    <t xml:space="preserve">Licuadoras personales</t>
  </si>
  <si>
    <t xml:space="preserve">LIGHT MIX EUCALYPTUS</t>
  </si>
  <si>
    <t xml:space="preserve">Licuadora portátil Light Mix Eucalyptus</t>
  </si>
  <si>
    <t xml:space="preserve">LIGHT MIX NEST</t>
  </si>
  <si>
    <t xml:space="preserve">Licuadora portátil Light Mix Nest</t>
  </si>
  <si>
    <t xml:space="preserve">BLEND UP</t>
  </si>
  <si>
    <t xml:space="preserve">Licuadora personal Blend Up</t>
  </si>
  <si>
    <t xml:space="preserve">Batidoras de inmersión</t>
  </si>
  <si>
    <t xml:space="preserve">TURBOMIX NEGRO 200 WATTS</t>
  </si>
  <si>
    <t xml:space="preserve">Batidora de inmersión Turbomix</t>
  </si>
  <si>
    <t xml:space="preserve">TURBOMIX MAX ACCESORIOS 400W</t>
  </si>
  <si>
    <t xml:space="preserve">Batidora Turbomix Max con accesorios</t>
  </si>
  <si>
    <t xml:space="preserve">DAILY CHEF</t>
  </si>
  <si>
    <t xml:space="preserve">Batidora de inmersión Daily Chef</t>
  </si>
  <si>
    <t xml:space="preserve">Procesadores y picadores</t>
  </si>
  <si>
    <t xml:space="preserve">CHOPPEO</t>
  </si>
  <si>
    <t xml:space="preserve">Picador Choppeo</t>
  </si>
  <si>
    <t xml:space="preserve">MINI PROCESADOR ACTIMIX</t>
  </si>
  <si>
    <t xml:space="preserve">Mini procesador Actimix</t>
  </si>
  <si>
    <t xml:space="preserve">Exprimidores y extractores</t>
  </si>
  <si>
    <t xml:space="preserve">EXPRIMIDOR NEGRO BASICO</t>
  </si>
  <si>
    <t xml:space="preserve">Exprimidor de cítricos básico</t>
  </si>
  <si>
    <t xml:space="preserve">EXPRIMIDOR POWER PRESS40W BLACK / INOX</t>
  </si>
  <si>
    <t xml:space="preserve">Exprimidor Power Press</t>
  </si>
  <si>
    <t xml:space="preserve">EXPRIMIDOR TURBO PRESS 100W INOX</t>
  </si>
  <si>
    <t xml:space="preserve">Exprimidor Turbo Press Inox</t>
  </si>
  <si>
    <t xml:space="preserve">FRUTELIA PLUS NEGRO</t>
  </si>
  <si>
    <t xml:space="preserve">Extractor de jugos Frutelia Plus Negro</t>
  </si>
  <si>
    <t xml:space="preserve">FRUTELIA PLUS METAL 400W</t>
  </si>
  <si>
    <t xml:space="preserve">Extractor de jugos Frutelia Plus Metal</t>
  </si>
  <si>
    <t xml:space="preserve">SLOW JUICER JUICE n CLEAN</t>
  </si>
  <si>
    <t xml:space="preserve">Extractor en frío Slow Juicer Juice n Clean</t>
  </si>
  <si>
    <t xml:space="preserve">TOTAL (1 pieza de cada uno)</t>
  </si>
  <si>
    <t xml:space="preserve">Resumen por pestaña (1 pieza de cada producto)</t>
  </si>
  <si>
    <t xml:space="preserve">Productos</t>
  </si>
  <si>
    <t xml:space="preserve">Inversión (MXN)</t>
  </si>
  <si>
    <t xml:space="preserve">Venta (MXN)</t>
  </si>
  <si>
    <t xml:space="preserve">Ganancia (MXN)</t>
  </si>
  <si>
    <t xml:space="preserve">TOTAL</t>
  </si>
  <si>
    <t xml:space="preserve">Reglas de aumento por rango de costo</t>
  </si>
  <si>
    <t xml:space="preserve">Celdas azules = puedes cambiarlas. El Excel recalcula todos los precios solo.</t>
  </si>
  <si>
    <t xml:space="preserve">Costo desde (MXN)</t>
  </si>
  <si>
    <t xml:space="preserve">Rango</t>
  </si>
  <si>
    <t xml:space="preserve">Aumento %</t>
  </si>
  <si>
    <t xml:space="preserve">$0 a $299.99</t>
  </si>
  <si>
    <t xml:space="preserve">$300 a $699.99</t>
  </si>
  <si>
    <t xml:space="preserve">$700 a $1,199.99</t>
  </si>
  <si>
    <t xml:space="preserve">$1,200 en adelante</t>
  </si>
  <si>
    <t xml:space="preserve">Redondeo: si el precio queda abajo de $1,000 se sube al siguiente número terminado en 9 (ej. $593 → $599).</t>
  </si>
  <si>
    <t xml:space="preserve">Si queda en $1,000 o más se sube al siguiente terminado en 49 o 99 (ej. $1,473 → $1,499).</t>
  </si>
  <si>
    <t xml:space="preserve">Precio mínimo del rango: lo que costaría el producto más caro del rango anterior. Así nunca vendes más</t>
  </si>
  <si>
    <t xml:space="preserve">barato algo que te costó más (ej. algo de $305 no queda abajo de algo de $299).</t>
  </si>
  <si>
    <t xml:space="preserve">Criterio: % más alto en productos baratos (para que la ganancia en pesos valga la pena) y más bajo en los</t>
  </si>
  <si>
    <t xml:space="preserve">caros (para que el precio siga siendo atractivo frente a tienda). Supuestos propuestos por Claude; ajústalos.</t>
  </si>
  <si>
    <t xml:space="preserve">La columna 'Rango' es solo texto descriptivo: si cambias 'Costo desde', actualízala a mano.</t>
  </si>
  <si>
    <t xml:space="preserve">Productos con datos incompletos (no salen en el catálogo)</t>
  </si>
  <si>
    <t xml:space="preserve">Producto (app)</t>
  </si>
  <si>
    <t xml:space="preserve">Costo visto (MXN)</t>
  </si>
  <si>
    <t xml:space="preserve">Qué falta</t>
  </si>
  <si>
    <t xml:space="preserve">SARTEN 30 CM RJ VITAL FR</t>
  </si>
  <si>
    <t xml:space="preserve">Precio (no se ve en la foto)</t>
  </si>
  <si>
    <t xml:space="preserve">BATERIA 17 PZS NEGRA EASY CARE</t>
  </si>
  <si>
    <t xml:space="preserve">QUICK CHEF+</t>
  </si>
  <si>
    <t xml:space="preserve">(nombre cortado en la foto)</t>
  </si>
  <si>
    <t xml:space="preserve">Nombre (cortado en la foto)</t>
  </si>
  <si>
    <t xml:space="preserve">Food Prep: la app dice 37 artículos y en las fotos se ven 27. Manda capturas de los que faltan.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</si>
</sst>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;&quot;($&quot;#,##0.00\);\-"/>
    <numFmt numFmtId="166" formatCode="0.0%;\(0.0%\);\-"/>
    <numFmt numFmtId="167" formatCode="\$#,##0;&quot;($&quot;#,##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2"/>
    </font>
    <font>
      <sz val="11"/>
      <color rgb="FF37415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2410C"/>
        <bgColor rgb="FF993366"/>
      </patternFill>
    </fill>
    <fill>
      <patternFill patternType="solid">
        <fgColor rgb="FFFFFF00"/>
        <bgColor rgb="FFFFFF00"/>
      </patternFill>
    </fill>
    <fill>
      <patternFill patternType="solid">
        <fgColor rgb="FFF3F4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C2410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4F6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C2410C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F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36"/>
    <col collapsed="false" customWidth="true" hidden="false" outlineLevel="0" max="5" min="5" style="0" width="40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10" min="9" style="0" width="14"/>
    <col collapsed="false" customWidth="true" hidden="false" outlineLevel="0" max="11" min="11" style="0" width="13"/>
    <col collapsed="false" customWidth="true" hidden="false" outlineLevel="0" max="12" min="12" style="0" width="14"/>
    <col collapsed="false" customWidth="true" hidden="false" outlineLevel="0" max="14" min="13" style="0" width="11"/>
  </cols>
  <sheetData>
    <row r="1" customFormat="false" ht="17.35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5" hidden="false" customHeight="false" outlineLevel="0" collapsed="false">
      <c r="A5" s="4" t="n">
        <v>1</v>
      </c>
      <c r="B5" s="4" t="s">
        <v>16</v>
      </c>
      <c r="C5" s="4" t="s">
        <v>17</v>
      </c>
      <c r="D5" s="4" t="s">
        <v>18</v>
      </c>
      <c r="E5" s="4" t="s">
        <v>19</v>
      </c>
      <c r="F5" s="5" t="n">
        <v>96.1</v>
      </c>
      <c r="G5" s="6" t="n">
        <f aca="false">INDEX(Reglas!$C$5:$C$8,MATCH(F5,Reglas!$A$5:$A$8,1))</f>
        <v>0.8</v>
      </c>
      <c r="H5" s="7"/>
      <c r="I5" s="8" t="n">
        <f aca="false">INDEX(Reglas!$D$5:$D$8,MATCH(F5,Reglas!$A$5:$A$8,1))</f>
        <v>0</v>
      </c>
      <c r="J5" s="9" t="n">
        <f aca="false">IF(H5="",MAX(F5*(1+G5),I5),F5*(1+H5))</f>
        <v>172.98</v>
      </c>
      <c r="K5" s="10" t="n">
        <f aca="false">IF(J5&lt;1000,CEILING(J5,10)-1,CEILING(J5,50)-1)</f>
        <v>179</v>
      </c>
      <c r="L5" s="9" t="n">
        <f aca="false">K5-F5</f>
        <v>82.9</v>
      </c>
      <c r="M5" s="11" t="n">
        <f aca="false">IF(K5=0,"",L5/K5)</f>
        <v>0.463128491620112</v>
      </c>
      <c r="N5" s="11" t="n">
        <f aca="false">IF(F5=0,"",K5/F5-1)</f>
        <v>0.86264308012487</v>
      </c>
    </row>
    <row r="6" customFormat="false" ht="15" hidden="false" customHeight="false" outlineLevel="0" collapsed="false">
      <c r="A6" s="4" t="n">
        <v>2</v>
      </c>
      <c r="B6" s="4" t="s">
        <v>16</v>
      </c>
      <c r="C6" s="4" t="s">
        <v>17</v>
      </c>
      <c r="D6" s="4" t="s">
        <v>20</v>
      </c>
      <c r="E6" s="4" t="s">
        <v>21</v>
      </c>
      <c r="F6" s="5" t="n">
        <v>126.08</v>
      </c>
      <c r="G6" s="6" t="n">
        <f aca="false">INDEX(Reglas!$C$5:$C$8,MATCH(F6,Reglas!$A$5:$A$8,1))</f>
        <v>0.8</v>
      </c>
      <c r="H6" s="7"/>
      <c r="I6" s="8" t="n">
        <f aca="false">INDEX(Reglas!$D$5:$D$8,MATCH(F6,Reglas!$A$5:$A$8,1))</f>
        <v>0</v>
      </c>
      <c r="J6" s="9" t="n">
        <f aca="false">IF(H6="",MAX(F6*(1+G6),I6),F6*(1+H6))</f>
        <v>226.944</v>
      </c>
      <c r="K6" s="10" t="n">
        <f aca="false">IF(J6&lt;1000,CEILING(J6,10)-1,CEILING(J6,50)-1)</f>
        <v>229</v>
      </c>
      <c r="L6" s="9" t="n">
        <f aca="false">K6-F6</f>
        <v>102.92</v>
      </c>
      <c r="M6" s="11" t="n">
        <f aca="false">IF(K6=0,"",L6/K6)</f>
        <v>0.44943231441048</v>
      </c>
      <c r="N6" s="11" t="n">
        <f aca="false">IF(F6=0,"",K6/F6-1)</f>
        <v>0.816307106598985</v>
      </c>
    </row>
    <row r="7" customFormat="false" ht="15" hidden="false" customHeight="false" outlineLevel="0" collapsed="false">
      <c r="A7" s="4" t="n">
        <v>3</v>
      </c>
      <c r="B7" s="4" t="s">
        <v>16</v>
      </c>
      <c r="C7" s="4" t="s">
        <v>17</v>
      </c>
      <c r="D7" s="4" t="s">
        <v>22</v>
      </c>
      <c r="E7" s="4" t="s">
        <v>23</v>
      </c>
      <c r="F7" s="5" t="n">
        <v>141.55</v>
      </c>
      <c r="G7" s="6" t="n">
        <f aca="false">INDEX(Reglas!$C$5:$C$8,MATCH(F7,Reglas!$A$5:$A$8,1))</f>
        <v>0.8</v>
      </c>
      <c r="H7" s="7"/>
      <c r="I7" s="8" t="n">
        <f aca="false">INDEX(Reglas!$D$5:$D$8,MATCH(F7,Reglas!$A$5:$A$8,1))</f>
        <v>0</v>
      </c>
      <c r="J7" s="9" t="n">
        <f aca="false">IF(H7="",MAX(F7*(1+G7),I7),F7*(1+H7))</f>
        <v>254.79</v>
      </c>
      <c r="K7" s="10" t="n">
        <f aca="false">IF(J7&lt;1000,CEILING(J7,10)-1,CEILING(J7,50)-1)</f>
        <v>259</v>
      </c>
      <c r="L7" s="9" t="n">
        <f aca="false">K7-F7</f>
        <v>117.45</v>
      </c>
      <c r="M7" s="11" t="n">
        <f aca="false">IF(K7=0,"",L7/K7)</f>
        <v>0.453474903474903</v>
      </c>
      <c r="N7" s="11" t="n">
        <f aca="false">IF(F7=0,"",K7/F7-1)</f>
        <v>0.829742140586365</v>
      </c>
    </row>
    <row r="8" customFormat="false" ht="15" hidden="false" customHeight="false" outlineLevel="0" collapsed="false">
      <c r="A8" s="4" t="n">
        <v>4</v>
      </c>
      <c r="B8" s="4" t="s">
        <v>16</v>
      </c>
      <c r="C8" s="4" t="s">
        <v>17</v>
      </c>
      <c r="D8" s="4" t="s">
        <v>24</v>
      </c>
      <c r="E8" s="4" t="s">
        <v>25</v>
      </c>
      <c r="F8" s="5" t="n">
        <v>146.67</v>
      </c>
      <c r="G8" s="6" t="n">
        <f aca="false">INDEX(Reglas!$C$5:$C$8,MATCH(F8,Reglas!$A$5:$A$8,1))</f>
        <v>0.8</v>
      </c>
      <c r="H8" s="7"/>
      <c r="I8" s="8" t="n">
        <f aca="false">INDEX(Reglas!$D$5:$D$8,MATCH(F8,Reglas!$A$5:$A$8,1))</f>
        <v>0</v>
      </c>
      <c r="J8" s="9" t="n">
        <f aca="false">IF(H8="",MAX(F8*(1+G8),I8),F8*(1+H8))</f>
        <v>264.006</v>
      </c>
      <c r="K8" s="10" t="n">
        <f aca="false">IF(J8&lt;1000,CEILING(J8,10)-1,CEILING(J8,50)-1)</f>
        <v>269</v>
      </c>
      <c r="L8" s="9" t="n">
        <f aca="false">K8-F8</f>
        <v>122.33</v>
      </c>
      <c r="M8" s="11" t="n">
        <f aca="false">IF(K8=0,"",L8/K8)</f>
        <v>0.454758364312268</v>
      </c>
      <c r="N8" s="11" t="n">
        <f aca="false">IF(F8=0,"",K8/F8-1)</f>
        <v>0.834049226153951</v>
      </c>
    </row>
    <row r="9" customFormat="false" ht="15" hidden="false" customHeight="false" outlineLevel="0" collapsed="false">
      <c r="A9" s="4" t="n">
        <v>5</v>
      </c>
      <c r="B9" s="4" t="s">
        <v>16</v>
      </c>
      <c r="C9" s="4" t="s">
        <v>17</v>
      </c>
      <c r="D9" s="4" t="s">
        <v>26</v>
      </c>
      <c r="E9" s="4" t="s">
        <v>27</v>
      </c>
      <c r="F9" s="5" t="n">
        <v>158.83</v>
      </c>
      <c r="G9" s="6" t="n">
        <f aca="false">INDEX(Reglas!$C$5:$C$8,MATCH(F9,Reglas!$A$5:$A$8,1))</f>
        <v>0.8</v>
      </c>
      <c r="H9" s="7"/>
      <c r="I9" s="8" t="n">
        <f aca="false">INDEX(Reglas!$D$5:$D$8,MATCH(F9,Reglas!$A$5:$A$8,1))</f>
        <v>0</v>
      </c>
      <c r="J9" s="9" t="n">
        <f aca="false">IF(H9="",MAX(F9*(1+G9),I9),F9*(1+H9))</f>
        <v>285.894</v>
      </c>
      <c r="K9" s="10" t="n">
        <f aca="false">IF(J9&lt;1000,CEILING(J9,10)-1,CEILING(J9,50)-1)</f>
        <v>289</v>
      </c>
      <c r="L9" s="9" t="n">
        <f aca="false">K9-F9</f>
        <v>130.17</v>
      </c>
      <c r="M9" s="11" t="n">
        <f aca="false">IF(K9=0,"",L9/K9)</f>
        <v>0.450415224913495</v>
      </c>
      <c r="N9" s="11" t="n">
        <f aca="false">IF(F9=0,"",K9/F9-1)</f>
        <v>0.819555499590757</v>
      </c>
    </row>
    <row r="10" customFormat="false" ht="15" hidden="false" customHeight="false" outlineLevel="0" collapsed="false">
      <c r="A10" s="4" t="n">
        <v>6</v>
      </c>
      <c r="B10" s="4" t="s">
        <v>16</v>
      </c>
      <c r="C10" s="4" t="s">
        <v>17</v>
      </c>
      <c r="D10" s="4" t="s">
        <v>28</v>
      </c>
      <c r="E10" s="4" t="s">
        <v>29</v>
      </c>
      <c r="F10" s="5" t="n">
        <v>202.07</v>
      </c>
      <c r="G10" s="6" t="n">
        <f aca="false">INDEX(Reglas!$C$5:$C$8,MATCH(F10,Reglas!$A$5:$A$8,1))</f>
        <v>0.8</v>
      </c>
      <c r="H10" s="7"/>
      <c r="I10" s="8" t="n">
        <f aca="false">INDEX(Reglas!$D$5:$D$8,MATCH(F10,Reglas!$A$5:$A$8,1))</f>
        <v>0</v>
      </c>
      <c r="J10" s="9" t="n">
        <f aca="false">IF(H10="",MAX(F10*(1+G10),I10),F10*(1+H10))</f>
        <v>363.726</v>
      </c>
      <c r="K10" s="10" t="n">
        <f aca="false">IF(J10&lt;1000,CEILING(J10,10)-1,CEILING(J10,50)-1)</f>
        <v>369</v>
      </c>
      <c r="L10" s="9" t="n">
        <f aca="false">K10-F10</f>
        <v>166.93</v>
      </c>
      <c r="M10" s="11" t="n">
        <f aca="false">IF(K10=0,"",L10/K10)</f>
        <v>0.452384823848239</v>
      </c>
      <c r="N10" s="11" t="n">
        <f aca="false">IF(F10=0,"",K10/F10-1)</f>
        <v>0.826099866382937</v>
      </c>
    </row>
    <row r="11" customFormat="false" ht="15" hidden="false" customHeight="false" outlineLevel="0" collapsed="false">
      <c r="A11" s="4" t="n">
        <v>7</v>
      </c>
      <c r="B11" s="4" t="s">
        <v>16</v>
      </c>
      <c r="C11" s="4" t="s">
        <v>17</v>
      </c>
      <c r="D11" s="4" t="s">
        <v>30</v>
      </c>
      <c r="E11" s="4" t="s">
        <v>31</v>
      </c>
      <c r="F11" s="5" t="n">
        <v>216.46</v>
      </c>
      <c r="G11" s="6" t="n">
        <f aca="false">INDEX(Reglas!$C$5:$C$8,MATCH(F11,Reglas!$A$5:$A$8,1))</f>
        <v>0.8</v>
      </c>
      <c r="H11" s="7"/>
      <c r="I11" s="8" t="n">
        <f aca="false">INDEX(Reglas!$D$5:$D$8,MATCH(F11,Reglas!$A$5:$A$8,1))</f>
        <v>0</v>
      </c>
      <c r="J11" s="9" t="n">
        <f aca="false">IF(H11="",MAX(F11*(1+G11),I11),F11*(1+H11))</f>
        <v>389.628</v>
      </c>
      <c r="K11" s="10" t="n">
        <f aca="false">IF(J11&lt;1000,CEILING(J11,10)-1,CEILING(J11,50)-1)</f>
        <v>389</v>
      </c>
      <c r="L11" s="9" t="n">
        <f aca="false">K11-F11</f>
        <v>172.54</v>
      </c>
      <c r="M11" s="11" t="n">
        <f aca="false">IF(K11=0,"",L11/K11)</f>
        <v>0.443547557840617</v>
      </c>
      <c r="N11" s="11" t="n">
        <f aca="false">IF(F11=0,"",K11/F11-1)</f>
        <v>0.797098771135545</v>
      </c>
    </row>
    <row r="12" customFormat="false" ht="15" hidden="false" customHeight="false" outlineLevel="0" collapsed="false">
      <c r="A12" s="4" t="n">
        <v>8</v>
      </c>
      <c r="B12" s="4" t="s">
        <v>16</v>
      </c>
      <c r="C12" s="4" t="s">
        <v>17</v>
      </c>
      <c r="D12" s="4" t="s">
        <v>32</v>
      </c>
      <c r="E12" s="4" t="s">
        <v>33</v>
      </c>
      <c r="F12" s="5" t="n">
        <v>229.98</v>
      </c>
      <c r="G12" s="6" t="n">
        <f aca="false">INDEX(Reglas!$C$5:$C$8,MATCH(F12,Reglas!$A$5:$A$8,1))</f>
        <v>0.8</v>
      </c>
      <c r="H12" s="7"/>
      <c r="I12" s="8" t="n">
        <f aca="false">INDEX(Reglas!$D$5:$D$8,MATCH(F12,Reglas!$A$5:$A$8,1))</f>
        <v>0</v>
      </c>
      <c r="J12" s="9" t="n">
        <f aca="false">IF(H12="",MAX(F12*(1+G12),I12),F12*(1+H12))</f>
        <v>413.964</v>
      </c>
      <c r="K12" s="10" t="n">
        <f aca="false">IF(J12&lt;1000,CEILING(J12,10)-1,CEILING(J12,50)-1)</f>
        <v>419</v>
      </c>
      <c r="L12" s="9" t="n">
        <f aca="false">K12-F12</f>
        <v>189.02</v>
      </c>
      <c r="M12" s="11" t="n">
        <f aca="false">IF(K12=0,"",L12/K12)</f>
        <v>0.451121718377088</v>
      </c>
      <c r="N12" s="11" t="n">
        <f aca="false">IF(F12=0,"",K12/F12-1)</f>
        <v>0.821897556309244</v>
      </c>
    </row>
    <row r="13" customFormat="false" ht="15" hidden="false" customHeight="false" outlineLevel="0" collapsed="false">
      <c r="A13" s="4" t="n">
        <v>9</v>
      </c>
      <c r="B13" s="4" t="s">
        <v>16</v>
      </c>
      <c r="C13" s="4" t="s">
        <v>34</v>
      </c>
      <c r="D13" s="4" t="s">
        <v>35</v>
      </c>
      <c r="E13" s="4" t="s">
        <v>36</v>
      </c>
      <c r="F13" s="5" t="n">
        <v>362.45</v>
      </c>
      <c r="G13" s="6" t="n">
        <f aca="false">INDEX(Reglas!$C$5:$C$8,MATCH(F13,Reglas!$A$5:$A$8,1))</f>
        <v>0.65</v>
      </c>
      <c r="H13" s="7"/>
      <c r="I13" s="8" t="n">
        <f aca="false">INDEX(Reglas!$D$5:$D$8,MATCH(F13,Reglas!$A$5:$A$8,1))</f>
        <v>540</v>
      </c>
      <c r="J13" s="9" t="n">
        <f aca="false">IF(H13="",MAX(F13*(1+G13),I13),F13*(1+H13))</f>
        <v>598.0425</v>
      </c>
      <c r="K13" s="10" t="n">
        <f aca="false">IF(J13&lt;1000,CEILING(J13,10)-1,CEILING(J13,50)-1)</f>
        <v>599</v>
      </c>
      <c r="L13" s="9" t="n">
        <f aca="false">K13-F13</f>
        <v>236.55</v>
      </c>
      <c r="M13" s="11" t="n">
        <f aca="false">IF(K13=0,"",L13/K13)</f>
        <v>0.394908180300501</v>
      </c>
      <c r="N13" s="11" t="n">
        <f aca="false">IF(F13=0,"",K13/F13-1)</f>
        <v>0.652641743688785</v>
      </c>
    </row>
    <row r="14" customFormat="false" ht="15" hidden="false" customHeight="false" outlineLevel="0" collapsed="false">
      <c r="A14" s="4" t="n">
        <v>10</v>
      </c>
      <c r="B14" s="4" t="s">
        <v>16</v>
      </c>
      <c r="C14" s="4" t="s">
        <v>34</v>
      </c>
      <c r="D14" s="4" t="s">
        <v>37</v>
      </c>
      <c r="E14" s="4" t="s">
        <v>38</v>
      </c>
      <c r="F14" s="5" t="n">
        <v>492.72</v>
      </c>
      <c r="G14" s="6" t="n">
        <f aca="false">INDEX(Reglas!$C$5:$C$8,MATCH(F14,Reglas!$A$5:$A$8,1))</f>
        <v>0.65</v>
      </c>
      <c r="H14" s="7"/>
      <c r="I14" s="8" t="n">
        <f aca="false">INDEX(Reglas!$D$5:$D$8,MATCH(F14,Reglas!$A$5:$A$8,1))</f>
        <v>540</v>
      </c>
      <c r="J14" s="9" t="n">
        <f aca="false">IF(H14="",MAX(F14*(1+G14),I14),F14*(1+H14))</f>
        <v>812.988</v>
      </c>
      <c r="K14" s="10" t="n">
        <f aca="false">IF(J14&lt;1000,CEILING(J14,10)-1,CEILING(J14,50)-1)</f>
        <v>819</v>
      </c>
      <c r="L14" s="9" t="n">
        <f aca="false">K14-F14</f>
        <v>326.28</v>
      </c>
      <c r="M14" s="11" t="n">
        <f aca="false">IF(K14=0,"",L14/K14)</f>
        <v>0.398388278388278</v>
      </c>
      <c r="N14" s="11" t="n">
        <f aca="false">IF(F14=0,"",K14/F14-1)</f>
        <v>0.662201656113005</v>
      </c>
    </row>
    <row r="15" customFormat="false" ht="15" hidden="false" customHeight="false" outlineLevel="0" collapsed="false">
      <c r="A15" s="4" t="n">
        <v>11</v>
      </c>
      <c r="B15" s="4" t="s">
        <v>16</v>
      </c>
      <c r="C15" s="4" t="s">
        <v>34</v>
      </c>
      <c r="D15" s="4" t="s">
        <v>39</v>
      </c>
      <c r="E15" s="4" t="s">
        <v>40</v>
      </c>
      <c r="F15" s="5" t="n">
        <v>705.08</v>
      </c>
      <c r="G15" s="6" t="n">
        <f aca="false">INDEX(Reglas!$C$5:$C$8,MATCH(F15,Reglas!$A$5:$A$8,1))</f>
        <v>0.55</v>
      </c>
      <c r="H15" s="7"/>
      <c r="I15" s="8" t="n">
        <f aca="false">INDEX(Reglas!$D$5:$D$8,MATCH(F15,Reglas!$A$5:$A$8,1))</f>
        <v>1155</v>
      </c>
      <c r="J15" s="9" t="n">
        <f aca="false">IF(H15="",MAX(F15*(1+G15),I15),F15*(1+H15))</f>
        <v>1155</v>
      </c>
      <c r="K15" s="10" t="n">
        <f aca="false">IF(J15&lt;1000,CEILING(J15,10)-1,CEILING(J15,50)-1)</f>
        <v>1199</v>
      </c>
      <c r="L15" s="9" t="n">
        <f aca="false">K15-F15</f>
        <v>493.92</v>
      </c>
      <c r="M15" s="11" t="n">
        <f aca="false">IF(K15=0,"",L15/K15)</f>
        <v>0.411943286071726</v>
      </c>
      <c r="N15" s="11" t="n">
        <f aca="false">IF(F15=0,"",K15/F15-1)</f>
        <v>0.700516253474783</v>
      </c>
    </row>
    <row r="16" customFormat="false" ht="15" hidden="false" customHeight="false" outlineLevel="0" collapsed="false">
      <c r="A16" s="4" t="n">
        <v>12</v>
      </c>
      <c r="B16" s="4" t="s">
        <v>16</v>
      </c>
      <c r="C16" s="4" t="s">
        <v>41</v>
      </c>
      <c r="D16" s="4" t="s">
        <v>42</v>
      </c>
      <c r="E16" s="4" t="s">
        <v>43</v>
      </c>
      <c r="F16" s="5" t="n">
        <v>866.93</v>
      </c>
      <c r="G16" s="6" t="n">
        <f aca="false">INDEX(Reglas!$C$5:$C$8,MATCH(F16,Reglas!$A$5:$A$8,1))</f>
        <v>0.55</v>
      </c>
      <c r="H16" s="7"/>
      <c r="I16" s="8" t="n">
        <f aca="false">INDEX(Reglas!$D$5:$D$8,MATCH(F16,Reglas!$A$5:$A$8,1))</f>
        <v>1155</v>
      </c>
      <c r="J16" s="9" t="n">
        <f aca="false">IF(H16="",MAX(F16*(1+G16),I16),F16*(1+H16))</f>
        <v>1343.7415</v>
      </c>
      <c r="K16" s="10" t="n">
        <f aca="false">IF(J16&lt;1000,CEILING(J16,10)-1,CEILING(J16,50)-1)</f>
        <v>1349</v>
      </c>
      <c r="L16" s="9" t="n">
        <f aca="false">K16-F16</f>
        <v>482.07</v>
      </c>
      <c r="M16" s="11" t="n">
        <f aca="false">IF(K16=0,"",L16/K16)</f>
        <v>0.357353595255745</v>
      </c>
      <c r="N16" s="11" t="n">
        <f aca="false">IF(F16=0,"",K16/F16-1)</f>
        <v>0.556065656973458</v>
      </c>
    </row>
    <row r="17" customFormat="false" ht="15" hidden="false" customHeight="false" outlineLevel="0" collapsed="false">
      <c r="A17" s="4" t="n">
        <v>13</v>
      </c>
      <c r="B17" s="4" t="s">
        <v>16</v>
      </c>
      <c r="C17" s="4" t="s">
        <v>41</v>
      </c>
      <c r="D17" s="4" t="s">
        <v>44</v>
      </c>
      <c r="E17" s="4" t="s">
        <v>45</v>
      </c>
      <c r="F17" s="5" t="n">
        <v>901.39</v>
      </c>
      <c r="G17" s="6" t="n">
        <f aca="false">INDEX(Reglas!$C$5:$C$8,MATCH(F17,Reglas!$A$5:$A$8,1))</f>
        <v>0.55</v>
      </c>
      <c r="H17" s="7"/>
      <c r="I17" s="8" t="n">
        <f aca="false">INDEX(Reglas!$D$5:$D$8,MATCH(F17,Reglas!$A$5:$A$8,1))</f>
        <v>1155</v>
      </c>
      <c r="J17" s="9" t="n">
        <f aca="false">IF(H17="",MAX(F17*(1+G17),I17),F17*(1+H17))</f>
        <v>1397.1545</v>
      </c>
      <c r="K17" s="10" t="n">
        <f aca="false">IF(J17&lt;1000,CEILING(J17,10)-1,CEILING(J17,50)-1)</f>
        <v>1399</v>
      </c>
      <c r="L17" s="9" t="n">
        <f aca="false">K17-F17</f>
        <v>497.61</v>
      </c>
      <c r="M17" s="11" t="n">
        <f aca="false">IF(K17=0,"",L17/K17)</f>
        <v>0.355689778413152</v>
      </c>
      <c r="N17" s="11" t="n">
        <f aca="false">IF(F17=0,"",K17/F17-1)</f>
        <v>0.552047393470085</v>
      </c>
    </row>
    <row r="18" customFormat="false" ht="15" hidden="false" customHeight="false" outlineLevel="0" collapsed="false">
      <c r="A18" s="4" t="n">
        <v>14</v>
      </c>
      <c r="B18" s="4" t="s">
        <v>16</v>
      </c>
      <c r="C18" s="4" t="s">
        <v>41</v>
      </c>
      <c r="D18" s="4" t="s">
        <v>46</v>
      </c>
      <c r="E18" s="4" t="s">
        <v>47</v>
      </c>
      <c r="F18" s="5" t="n">
        <v>1012.41</v>
      </c>
      <c r="G18" s="6" t="n">
        <f aca="false">INDEX(Reglas!$C$5:$C$8,MATCH(F18,Reglas!$A$5:$A$8,1))</f>
        <v>0.55</v>
      </c>
      <c r="H18" s="7"/>
      <c r="I18" s="8" t="n">
        <f aca="false">INDEX(Reglas!$D$5:$D$8,MATCH(F18,Reglas!$A$5:$A$8,1))</f>
        <v>1155</v>
      </c>
      <c r="J18" s="9" t="n">
        <f aca="false">IF(H18="",MAX(F18*(1+G18),I18),F18*(1+H18))</f>
        <v>1569.2355</v>
      </c>
      <c r="K18" s="10" t="n">
        <f aca="false">IF(J18&lt;1000,CEILING(J18,10)-1,CEILING(J18,50)-1)</f>
        <v>1599</v>
      </c>
      <c r="L18" s="9" t="n">
        <f aca="false">K18-F18</f>
        <v>586.59</v>
      </c>
      <c r="M18" s="11" t="n">
        <f aca="false">IF(K18=0,"",L18/K18)</f>
        <v>0.366848030018762</v>
      </c>
      <c r="N18" s="11" t="n">
        <f aca="false">IF(F18=0,"",K18/F18-1)</f>
        <v>0.57939965033929</v>
      </c>
    </row>
    <row r="19" customFormat="false" ht="15" hidden="false" customHeight="false" outlineLevel="0" collapsed="false">
      <c r="A19" s="4" t="n">
        <v>15</v>
      </c>
      <c r="B19" s="4" t="s">
        <v>16</v>
      </c>
      <c r="C19" s="4" t="s">
        <v>41</v>
      </c>
      <c r="D19" s="4" t="s">
        <v>48</v>
      </c>
      <c r="E19" s="4" t="s">
        <v>49</v>
      </c>
      <c r="F19" s="5" t="n">
        <v>1047.3</v>
      </c>
      <c r="G19" s="6" t="n">
        <f aca="false">INDEX(Reglas!$C$5:$C$8,MATCH(F19,Reglas!$A$5:$A$8,1))</f>
        <v>0.55</v>
      </c>
      <c r="H19" s="7"/>
      <c r="I19" s="8" t="n">
        <f aca="false">INDEX(Reglas!$D$5:$D$8,MATCH(F19,Reglas!$A$5:$A$8,1))</f>
        <v>1155</v>
      </c>
      <c r="J19" s="9" t="n">
        <f aca="false">IF(H19="",MAX(F19*(1+G19),I19),F19*(1+H19))</f>
        <v>1623.315</v>
      </c>
      <c r="K19" s="10" t="n">
        <f aca="false">IF(J19&lt;1000,CEILING(J19,10)-1,CEILING(J19,50)-1)</f>
        <v>1649</v>
      </c>
      <c r="L19" s="9" t="n">
        <f aca="false">K19-F19</f>
        <v>601.7</v>
      </c>
      <c r="M19" s="11" t="n">
        <f aca="false">IF(K19=0,"",L19/K19)</f>
        <v>0.364887810794421</v>
      </c>
      <c r="N19" s="11" t="n">
        <f aca="false">IF(F19=0,"",K19/F19-1)</f>
        <v>0.574524968967822</v>
      </c>
    </row>
    <row r="20" customFormat="false" ht="15" hidden="false" customHeight="false" outlineLevel="0" collapsed="false">
      <c r="A20" s="4" t="n">
        <v>16</v>
      </c>
      <c r="B20" s="4" t="s">
        <v>50</v>
      </c>
      <c r="C20" s="4" t="s">
        <v>51</v>
      </c>
      <c r="D20" s="4" t="s">
        <v>52</v>
      </c>
      <c r="E20" s="4" t="s">
        <v>53</v>
      </c>
      <c r="F20" s="5" t="n">
        <v>362.5</v>
      </c>
      <c r="G20" s="6" t="n">
        <f aca="false">INDEX(Reglas!$C$5:$C$8,MATCH(F20,Reglas!$A$5:$A$8,1))</f>
        <v>0.65</v>
      </c>
      <c r="H20" s="7"/>
      <c r="I20" s="8" t="n">
        <f aca="false">INDEX(Reglas!$D$5:$D$8,MATCH(F20,Reglas!$A$5:$A$8,1))</f>
        <v>540</v>
      </c>
      <c r="J20" s="9" t="n">
        <f aca="false">IF(H20="",MAX(F20*(1+G20),I20),F20*(1+H20))</f>
        <v>598.125</v>
      </c>
      <c r="K20" s="10" t="n">
        <f aca="false">IF(J20&lt;1000,CEILING(J20,10)-1,CEILING(J20,50)-1)</f>
        <v>599</v>
      </c>
      <c r="L20" s="9" t="n">
        <f aca="false">K20-F20</f>
        <v>236.5</v>
      </c>
      <c r="M20" s="11" t="n">
        <f aca="false">IF(K20=0,"",L20/K20)</f>
        <v>0.394824707846411</v>
      </c>
      <c r="N20" s="11" t="n">
        <f aca="false">IF(F20=0,"",K20/F20-1)</f>
        <v>0.652413793103448</v>
      </c>
    </row>
    <row r="21" customFormat="false" ht="15" hidden="false" customHeight="false" outlineLevel="0" collapsed="false">
      <c r="A21" s="4" t="n">
        <v>17</v>
      </c>
      <c r="B21" s="4" t="s">
        <v>50</v>
      </c>
      <c r="C21" s="4" t="s">
        <v>51</v>
      </c>
      <c r="D21" s="4" t="s">
        <v>54</v>
      </c>
      <c r="E21" s="4" t="s">
        <v>55</v>
      </c>
      <c r="F21" s="5" t="n">
        <v>384.06</v>
      </c>
      <c r="G21" s="6" t="n">
        <f aca="false">INDEX(Reglas!$C$5:$C$8,MATCH(F21,Reglas!$A$5:$A$8,1))</f>
        <v>0.65</v>
      </c>
      <c r="H21" s="7"/>
      <c r="I21" s="8" t="n">
        <f aca="false">INDEX(Reglas!$D$5:$D$8,MATCH(F21,Reglas!$A$5:$A$8,1))</f>
        <v>540</v>
      </c>
      <c r="J21" s="9" t="n">
        <f aca="false">IF(H21="",MAX(F21*(1+G21),I21),F21*(1+H21))</f>
        <v>633.699</v>
      </c>
      <c r="K21" s="10" t="n">
        <f aca="false">IF(J21&lt;1000,CEILING(J21,10)-1,CEILING(J21,50)-1)</f>
        <v>639</v>
      </c>
      <c r="L21" s="9" t="n">
        <f aca="false">K21-F21</f>
        <v>254.94</v>
      </c>
      <c r="M21" s="11" t="n">
        <f aca="false">IF(K21=0,"",L21/K21)</f>
        <v>0.398967136150235</v>
      </c>
      <c r="N21" s="11" t="n">
        <f aca="false">IF(F21=0,"",K21/F21-1)</f>
        <v>0.663802530854554</v>
      </c>
    </row>
    <row r="22" customFormat="false" ht="15" hidden="false" customHeight="false" outlineLevel="0" collapsed="false">
      <c r="A22" s="4" t="n">
        <v>18</v>
      </c>
      <c r="B22" s="4" t="s">
        <v>50</v>
      </c>
      <c r="C22" s="4" t="s">
        <v>51</v>
      </c>
      <c r="D22" s="4" t="s">
        <v>56</v>
      </c>
      <c r="E22" s="4" t="s">
        <v>57</v>
      </c>
      <c r="F22" s="5" t="n">
        <v>384.59</v>
      </c>
      <c r="G22" s="6" t="n">
        <f aca="false">INDEX(Reglas!$C$5:$C$8,MATCH(F22,Reglas!$A$5:$A$8,1))</f>
        <v>0.65</v>
      </c>
      <c r="H22" s="7"/>
      <c r="I22" s="8" t="n">
        <f aca="false">INDEX(Reglas!$D$5:$D$8,MATCH(F22,Reglas!$A$5:$A$8,1))</f>
        <v>540</v>
      </c>
      <c r="J22" s="9" t="n">
        <f aca="false">IF(H22="",MAX(F22*(1+G22),I22),F22*(1+H22))</f>
        <v>634.5735</v>
      </c>
      <c r="K22" s="10" t="n">
        <f aca="false">IF(J22&lt;1000,CEILING(J22,10)-1,CEILING(J22,50)-1)</f>
        <v>639</v>
      </c>
      <c r="L22" s="9" t="n">
        <f aca="false">K22-F22</f>
        <v>254.41</v>
      </c>
      <c r="M22" s="11" t="n">
        <f aca="false">IF(K22=0,"",L22/K22)</f>
        <v>0.398137715179969</v>
      </c>
      <c r="N22" s="11" t="n">
        <f aca="false">IF(F22=0,"",K22/F22-1)</f>
        <v>0.661509659637536</v>
      </c>
    </row>
    <row r="23" customFormat="false" ht="15" hidden="false" customHeight="false" outlineLevel="0" collapsed="false">
      <c r="A23" s="4" t="n">
        <v>19</v>
      </c>
      <c r="B23" s="4" t="s">
        <v>50</v>
      </c>
      <c r="C23" s="4" t="s">
        <v>51</v>
      </c>
      <c r="D23" s="4" t="s">
        <v>58</v>
      </c>
      <c r="E23" s="4" t="s">
        <v>59</v>
      </c>
      <c r="F23" s="5" t="n">
        <v>419.93</v>
      </c>
      <c r="G23" s="6" t="n">
        <f aca="false">INDEX(Reglas!$C$5:$C$8,MATCH(F23,Reglas!$A$5:$A$8,1))</f>
        <v>0.65</v>
      </c>
      <c r="H23" s="7"/>
      <c r="I23" s="8" t="n">
        <f aca="false">INDEX(Reglas!$D$5:$D$8,MATCH(F23,Reglas!$A$5:$A$8,1))</f>
        <v>540</v>
      </c>
      <c r="J23" s="9" t="n">
        <f aca="false">IF(H23="",MAX(F23*(1+G23),I23),F23*(1+H23))</f>
        <v>692.8845</v>
      </c>
      <c r="K23" s="10" t="n">
        <f aca="false">IF(J23&lt;1000,CEILING(J23,10)-1,CEILING(J23,50)-1)</f>
        <v>699</v>
      </c>
      <c r="L23" s="9" t="n">
        <f aca="false">K23-F23</f>
        <v>279.07</v>
      </c>
      <c r="M23" s="11" t="n">
        <f aca="false">IF(K23=0,"",L23/K23)</f>
        <v>0.399241773962804</v>
      </c>
      <c r="N23" s="11" t="n">
        <f aca="false">IF(F23=0,"",K23/F23-1)</f>
        <v>0.66456314147596</v>
      </c>
    </row>
    <row r="24" customFormat="false" ht="15" hidden="false" customHeight="false" outlineLevel="0" collapsed="false">
      <c r="A24" s="4" t="n">
        <v>20</v>
      </c>
      <c r="B24" s="4" t="s">
        <v>50</v>
      </c>
      <c r="C24" s="4" t="s">
        <v>51</v>
      </c>
      <c r="D24" s="4" t="s">
        <v>60</v>
      </c>
      <c r="E24" s="4" t="s">
        <v>61</v>
      </c>
      <c r="F24" s="5" t="n">
        <v>525.56</v>
      </c>
      <c r="G24" s="6" t="n">
        <f aca="false">INDEX(Reglas!$C$5:$C$8,MATCH(F24,Reglas!$A$5:$A$8,1))</f>
        <v>0.65</v>
      </c>
      <c r="H24" s="7"/>
      <c r="I24" s="8" t="n">
        <f aca="false">INDEX(Reglas!$D$5:$D$8,MATCH(F24,Reglas!$A$5:$A$8,1))</f>
        <v>540</v>
      </c>
      <c r="J24" s="9" t="n">
        <f aca="false">IF(H24="",MAX(F24*(1+G24),I24),F24*(1+H24))</f>
        <v>867.174</v>
      </c>
      <c r="K24" s="10" t="n">
        <f aca="false">IF(J24&lt;1000,CEILING(J24,10)-1,CEILING(J24,50)-1)</f>
        <v>869</v>
      </c>
      <c r="L24" s="9" t="n">
        <f aca="false">K24-F24</f>
        <v>343.44</v>
      </c>
      <c r="M24" s="11" t="n">
        <f aca="false">IF(K24=0,"",L24/K24)</f>
        <v>0.395212888377445</v>
      </c>
      <c r="N24" s="11" t="n">
        <f aca="false">IF(F24=0,"",K24/F24-1)</f>
        <v>0.653474389222924</v>
      </c>
    </row>
    <row r="25" customFormat="false" ht="15" hidden="false" customHeight="false" outlineLevel="0" collapsed="false">
      <c r="A25" s="4" t="n">
        <v>21</v>
      </c>
      <c r="B25" s="4" t="s">
        <v>50</v>
      </c>
      <c r="C25" s="4" t="s">
        <v>51</v>
      </c>
      <c r="D25" s="4" t="s">
        <v>62</v>
      </c>
      <c r="E25" s="4" t="s">
        <v>63</v>
      </c>
      <c r="F25" s="5" t="n">
        <v>550.83</v>
      </c>
      <c r="G25" s="6" t="n">
        <f aca="false">INDEX(Reglas!$C$5:$C$8,MATCH(F25,Reglas!$A$5:$A$8,1))</f>
        <v>0.65</v>
      </c>
      <c r="H25" s="7"/>
      <c r="I25" s="8" t="n">
        <f aca="false">INDEX(Reglas!$D$5:$D$8,MATCH(F25,Reglas!$A$5:$A$8,1))</f>
        <v>540</v>
      </c>
      <c r="J25" s="9" t="n">
        <f aca="false">IF(H25="",MAX(F25*(1+G25),I25),F25*(1+H25))</f>
        <v>908.8695</v>
      </c>
      <c r="K25" s="10" t="n">
        <f aca="false">IF(J25&lt;1000,CEILING(J25,10)-1,CEILING(J25,50)-1)</f>
        <v>909</v>
      </c>
      <c r="L25" s="9" t="n">
        <f aca="false">K25-F25</f>
        <v>358.17</v>
      </c>
      <c r="M25" s="11" t="n">
        <f aca="false">IF(K25=0,"",L25/K25)</f>
        <v>0.394026402640264</v>
      </c>
      <c r="N25" s="11" t="n">
        <f aca="false">IF(F25=0,"",K25/F25-1)</f>
        <v>0.650236915200697</v>
      </c>
    </row>
    <row r="26" customFormat="false" ht="15" hidden="false" customHeight="false" outlineLevel="0" collapsed="false">
      <c r="A26" s="4" t="n">
        <v>22</v>
      </c>
      <c r="B26" s="4" t="s">
        <v>50</v>
      </c>
      <c r="C26" s="4" t="s">
        <v>64</v>
      </c>
      <c r="D26" s="4" t="s">
        <v>65</v>
      </c>
      <c r="E26" s="4" t="s">
        <v>66</v>
      </c>
      <c r="F26" s="5" t="n">
        <v>950.19</v>
      </c>
      <c r="G26" s="6" t="n">
        <f aca="false">INDEX(Reglas!$C$5:$C$8,MATCH(F26,Reglas!$A$5:$A$8,1))</f>
        <v>0.55</v>
      </c>
      <c r="H26" s="7"/>
      <c r="I26" s="8" t="n">
        <f aca="false">INDEX(Reglas!$D$5:$D$8,MATCH(F26,Reglas!$A$5:$A$8,1))</f>
        <v>1155</v>
      </c>
      <c r="J26" s="9" t="n">
        <f aca="false">IF(H26="",MAX(F26*(1+G26),I26),F26*(1+H26))</f>
        <v>1472.7945</v>
      </c>
      <c r="K26" s="10" t="n">
        <f aca="false">IF(J26&lt;1000,CEILING(J26,10)-1,CEILING(J26,50)-1)</f>
        <v>1499</v>
      </c>
      <c r="L26" s="9" t="n">
        <f aca="false">K26-F26</f>
        <v>548.81</v>
      </c>
      <c r="M26" s="11" t="n">
        <f aca="false">IF(K26=0,"",L26/K26)</f>
        <v>0.366117411607739</v>
      </c>
      <c r="N26" s="11" t="n">
        <f aca="false">IF(F26=0,"",K26/F26-1)</f>
        <v>0.577579220997906</v>
      </c>
    </row>
    <row r="27" customFormat="false" ht="15" hidden="false" customHeight="false" outlineLevel="0" collapsed="false">
      <c r="A27" s="4" t="n">
        <v>23</v>
      </c>
      <c r="B27" s="4" t="s">
        <v>50</v>
      </c>
      <c r="C27" s="4" t="s">
        <v>64</v>
      </c>
      <c r="D27" s="4" t="s">
        <v>67</v>
      </c>
      <c r="E27" s="4" t="s">
        <v>68</v>
      </c>
      <c r="F27" s="5" t="n">
        <v>978.67</v>
      </c>
      <c r="G27" s="6" t="n">
        <f aca="false">INDEX(Reglas!$C$5:$C$8,MATCH(F27,Reglas!$A$5:$A$8,1))</f>
        <v>0.55</v>
      </c>
      <c r="H27" s="7"/>
      <c r="I27" s="8" t="n">
        <f aca="false">INDEX(Reglas!$D$5:$D$8,MATCH(F27,Reglas!$A$5:$A$8,1))</f>
        <v>1155</v>
      </c>
      <c r="J27" s="9" t="n">
        <f aca="false">IF(H27="",MAX(F27*(1+G27),I27),F27*(1+H27))</f>
        <v>1516.9385</v>
      </c>
      <c r="K27" s="10" t="n">
        <f aca="false">IF(J27&lt;1000,CEILING(J27,10)-1,CEILING(J27,50)-1)</f>
        <v>1549</v>
      </c>
      <c r="L27" s="9" t="n">
        <f aca="false">K27-F27</f>
        <v>570.33</v>
      </c>
      <c r="M27" s="11" t="n">
        <f aca="false">IF(K27=0,"",L27/K27)</f>
        <v>0.368192382182053</v>
      </c>
      <c r="N27" s="11" t="n">
        <f aca="false">IF(F27=0,"",K27/F27-1)</f>
        <v>0.582760276702055</v>
      </c>
    </row>
    <row r="28" customFormat="false" ht="15" hidden="false" customHeight="false" outlineLevel="0" collapsed="false">
      <c r="A28" s="4" t="n">
        <v>24</v>
      </c>
      <c r="B28" s="4" t="s">
        <v>50</v>
      </c>
      <c r="C28" s="4" t="s">
        <v>64</v>
      </c>
      <c r="D28" s="4" t="s">
        <v>69</v>
      </c>
      <c r="E28" s="4" t="s">
        <v>70</v>
      </c>
      <c r="F28" s="5" t="n">
        <v>1608.09</v>
      </c>
      <c r="G28" s="6" t="n">
        <f aca="false">INDEX(Reglas!$C$5:$C$8,MATCH(F28,Reglas!$A$5:$A$8,1))</f>
        <v>0.45</v>
      </c>
      <c r="H28" s="7"/>
      <c r="I28" s="8" t="n">
        <f aca="false">INDEX(Reglas!$D$5:$D$8,MATCH(F28,Reglas!$A$5:$A$8,1))</f>
        <v>1860</v>
      </c>
      <c r="J28" s="9" t="n">
        <f aca="false">IF(H28="",MAX(F28*(1+G28),I28),F28*(1+H28))</f>
        <v>2331.7305</v>
      </c>
      <c r="K28" s="10" t="n">
        <f aca="false">IF(J28&lt;1000,CEILING(J28,10)-1,CEILING(J28,50)-1)</f>
        <v>2349</v>
      </c>
      <c r="L28" s="9" t="n">
        <f aca="false">K28-F28</f>
        <v>740.91</v>
      </c>
      <c r="M28" s="11" t="n">
        <f aca="false">IF(K28=0,"",L28/K28)</f>
        <v>0.315415070242656</v>
      </c>
      <c r="N28" s="11" t="n">
        <f aca="false">IF(F28=0,"",K28/F28-1)</f>
        <v>0.460739137734828</v>
      </c>
    </row>
    <row r="29" customFormat="false" ht="15" hidden="false" customHeight="false" outlineLevel="0" collapsed="false">
      <c r="A29" s="4" t="n">
        <v>25</v>
      </c>
      <c r="B29" s="4" t="s">
        <v>50</v>
      </c>
      <c r="C29" s="4" t="s">
        <v>64</v>
      </c>
      <c r="D29" s="4" t="s">
        <v>71</v>
      </c>
      <c r="E29" s="4" t="s">
        <v>72</v>
      </c>
      <c r="F29" s="5" t="n">
        <v>1645.59</v>
      </c>
      <c r="G29" s="6" t="n">
        <f aca="false">INDEX(Reglas!$C$5:$C$8,MATCH(F29,Reglas!$A$5:$A$8,1))</f>
        <v>0.45</v>
      </c>
      <c r="H29" s="7"/>
      <c r="I29" s="8" t="n">
        <f aca="false">INDEX(Reglas!$D$5:$D$8,MATCH(F29,Reglas!$A$5:$A$8,1))</f>
        <v>1860</v>
      </c>
      <c r="J29" s="9" t="n">
        <f aca="false">IF(H29="",MAX(F29*(1+G29),I29),F29*(1+H29))</f>
        <v>2386.1055</v>
      </c>
      <c r="K29" s="10" t="n">
        <f aca="false">IF(J29&lt;1000,CEILING(J29,10)-1,CEILING(J29,50)-1)</f>
        <v>2399</v>
      </c>
      <c r="L29" s="9" t="n">
        <f aca="false">K29-F29</f>
        <v>753.41</v>
      </c>
      <c r="M29" s="11" t="n">
        <f aca="false">IF(K29=0,"",L29/K29)</f>
        <v>0.314051688203418</v>
      </c>
      <c r="N29" s="11" t="n">
        <f aca="false">IF(F29=0,"",K29/F29-1)</f>
        <v>0.457835791418276</v>
      </c>
    </row>
    <row r="30" customFormat="false" ht="15" hidden="false" customHeight="false" outlineLevel="0" collapsed="false">
      <c r="A30" s="4" t="n">
        <v>26</v>
      </c>
      <c r="B30" s="4" t="s">
        <v>50</v>
      </c>
      <c r="C30" s="4" t="s">
        <v>73</v>
      </c>
      <c r="D30" s="4" t="s">
        <v>74</v>
      </c>
      <c r="E30" s="4" t="s">
        <v>75</v>
      </c>
      <c r="F30" s="5" t="n">
        <v>321.42</v>
      </c>
      <c r="G30" s="6" t="n">
        <f aca="false">INDEX(Reglas!$C$5:$C$8,MATCH(F30,Reglas!$A$5:$A$8,1))</f>
        <v>0.65</v>
      </c>
      <c r="H30" s="7"/>
      <c r="I30" s="8" t="n">
        <f aca="false">INDEX(Reglas!$D$5:$D$8,MATCH(F30,Reglas!$A$5:$A$8,1))</f>
        <v>540</v>
      </c>
      <c r="J30" s="9" t="n">
        <f aca="false">IF(H30="",MAX(F30*(1+G30),I30),F30*(1+H30))</f>
        <v>540</v>
      </c>
      <c r="K30" s="10" t="n">
        <f aca="false">IF(J30&lt;1000,CEILING(J30,10)-1,CEILING(J30,50)-1)</f>
        <v>539</v>
      </c>
      <c r="L30" s="9" t="n">
        <f aca="false">K30-F30</f>
        <v>217.58</v>
      </c>
      <c r="M30" s="11" t="n">
        <f aca="false">IF(K30=0,"",L30/K30)</f>
        <v>0.403673469387755</v>
      </c>
      <c r="N30" s="11" t="n">
        <f aca="false">IF(F30=0,"",K30/F30-1)</f>
        <v>0.676933607118412</v>
      </c>
    </row>
    <row r="31" customFormat="false" ht="15" hidden="false" customHeight="false" outlineLevel="0" collapsed="false">
      <c r="A31" s="4" t="n">
        <v>27</v>
      </c>
      <c r="B31" s="4" t="s">
        <v>50</v>
      </c>
      <c r="C31" s="4" t="s">
        <v>73</v>
      </c>
      <c r="D31" s="4" t="s">
        <v>76</v>
      </c>
      <c r="E31" s="4" t="s">
        <v>77</v>
      </c>
      <c r="F31" s="5" t="n">
        <v>321.42</v>
      </c>
      <c r="G31" s="6" t="n">
        <f aca="false">INDEX(Reglas!$C$5:$C$8,MATCH(F31,Reglas!$A$5:$A$8,1))</f>
        <v>0.65</v>
      </c>
      <c r="H31" s="7"/>
      <c r="I31" s="8" t="n">
        <f aca="false">INDEX(Reglas!$D$5:$D$8,MATCH(F31,Reglas!$A$5:$A$8,1))</f>
        <v>540</v>
      </c>
      <c r="J31" s="9" t="n">
        <f aca="false">IF(H31="",MAX(F31*(1+G31),I31),F31*(1+H31))</f>
        <v>540</v>
      </c>
      <c r="K31" s="10" t="n">
        <f aca="false">IF(J31&lt;1000,CEILING(J31,10)-1,CEILING(J31,50)-1)</f>
        <v>539</v>
      </c>
      <c r="L31" s="9" t="n">
        <f aca="false">K31-F31</f>
        <v>217.58</v>
      </c>
      <c r="M31" s="11" t="n">
        <f aca="false">IF(K31=0,"",L31/K31)</f>
        <v>0.403673469387755</v>
      </c>
      <c r="N31" s="11" t="n">
        <f aca="false">IF(F31=0,"",K31/F31-1)</f>
        <v>0.676933607118412</v>
      </c>
    </row>
    <row r="32" customFormat="false" ht="15" hidden="false" customHeight="false" outlineLevel="0" collapsed="false">
      <c r="A32" s="4" t="n">
        <v>28</v>
      </c>
      <c r="B32" s="4" t="s">
        <v>50</v>
      </c>
      <c r="C32" s="4" t="s">
        <v>73</v>
      </c>
      <c r="D32" s="4" t="s">
        <v>78</v>
      </c>
      <c r="E32" s="4" t="s">
        <v>79</v>
      </c>
      <c r="F32" s="5" t="n">
        <v>823.36</v>
      </c>
      <c r="G32" s="6" t="n">
        <f aca="false">INDEX(Reglas!$C$5:$C$8,MATCH(F32,Reglas!$A$5:$A$8,1))</f>
        <v>0.55</v>
      </c>
      <c r="H32" s="7"/>
      <c r="I32" s="8" t="n">
        <f aca="false">INDEX(Reglas!$D$5:$D$8,MATCH(F32,Reglas!$A$5:$A$8,1))</f>
        <v>1155</v>
      </c>
      <c r="J32" s="9" t="n">
        <f aca="false">IF(H32="",MAX(F32*(1+G32),I32),F32*(1+H32))</f>
        <v>1276.208</v>
      </c>
      <c r="K32" s="10" t="n">
        <f aca="false">IF(J32&lt;1000,CEILING(J32,10)-1,CEILING(J32,50)-1)</f>
        <v>1299</v>
      </c>
      <c r="L32" s="9" t="n">
        <f aca="false">K32-F32</f>
        <v>475.64</v>
      </c>
      <c r="M32" s="11" t="n">
        <f aca="false">IF(K32=0,"",L32/K32)</f>
        <v>0.366158583525789</v>
      </c>
      <c r="N32" s="11" t="n">
        <f aca="false">IF(F32=0,"",K32/F32-1)</f>
        <v>0.577681694520016</v>
      </c>
    </row>
    <row r="33" customFormat="false" ht="15" hidden="false" customHeight="false" outlineLevel="0" collapsed="false">
      <c r="A33" s="4" t="n">
        <v>29</v>
      </c>
      <c r="B33" s="4" t="s">
        <v>50</v>
      </c>
      <c r="C33" s="4" t="s">
        <v>80</v>
      </c>
      <c r="D33" s="4" t="s">
        <v>81</v>
      </c>
      <c r="E33" s="4" t="s">
        <v>82</v>
      </c>
      <c r="F33" s="5" t="n">
        <v>177.68</v>
      </c>
      <c r="G33" s="6" t="n">
        <f aca="false">INDEX(Reglas!$C$5:$C$8,MATCH(F33,Reglas!$A$5:$A$8,1))</f>
        <v>0.8</v>
      </c>
      <c r="H33" s="7"/>
      <c r="I33" s="8" t="n">
        <f aca="false">INDEX(Reglas!$D$5:$D$8,MATCH(F33,Reglas!$A$5:$A$8,1))</f>
        <v>0</v>
      </c>
      <c r="J33" s="9" t="n">
        <f aca="false">IF(H33="",MAX(F33*(1+G33),I33),F33*(1+H33))</f>
        <v>319.824</v>
      </c>
      <c r="K33" s="10" t="n">
        <f aca="false">IF(J33&lt;1000,CEILING(J33,10)-1,CEILING(J33,50)-1)</f>
        <v>319</v>
      </c>
      <c r="L33" s="9" t="n">
        <f aca="false">K33-F33</f>
        <v>141.32</v>
      </c>
      <c r="M33" s="11" t="n">
        <f aca="false">IF(K33=0,"",L33/K33)</f>
        <v>0.443009404388715</v>
      </c>
      <c r="N33" s="11" t="n">
        <f aca="false">IF(F33=0,"",K33/F33-1)</f>
        <v>0.795362449347141</v>
      </c>
    </row>
    <row r="34" customFormat="false" ht="15" hidden="false" customHeight="false" outlineLevel="0" collapsed="false">
      <c r="A34" s="4" t="n">
        <v>30</v>
      </c>
      <c r="B34" s="4" t="s">
        <v>50</v>
      </c>
      <c r="C34" s="4" t="s">
        <v>80</v>
      </c>
      <c r="D34" s="4" t="s">
        <v>83</v>
      </c>
      <c r="E34" s="4" t="s">
        <v>84</v>
      </c>
      <c r="F34" s="5" t="n">
        <v>305.32</v>
      </c>
      <c r="G34" s="6" t="n">
        <f aca="false">INDEX(Reglas!$C$5:$C$8,MATCH(F34,Reglas!$A$5:$A$8,1))</f>
        <v>0.65</v>
      </c>
      <c r="H34" s="7"/>
      <c r="I34" s="8" t="n">
        <f aca="false">INDEX(Reglas!$D$5:$D$8,MATCH(F34,Reglas!$A$5:$A$8,1))</f>
        <v>540</v>
      </c>
      <c r="J34" s="9" t="n">
        <f aca="false">IF(H34="",MAX(F34*(1+G34),I34),F34*(1+H34))</f>
        <v>540</v>
      </c>
      <c r="K34" s="10" t="n">
        <f aca="false">IF(J34&lt;1000,CEILING(J34,10)-1,CEILING(J34,50)-1)</f>
        <v>539</v>
      </c>
      <c r="L34" s="9" t="n">
        <f aca="false">K34-F34</f>
        <v>233.68</v>
      </c>
      <c r="M34" s="11" t="n">
        <f aca="false">IF(K34=0,"",L34/K34)</f>
        <v>0.433543599257885</v>
      </c>
      <c r="N34" s="11" t="n">
        <f aca="false">IF(F34=0,"",K34/F34-1)</f>
        <v>0.765360932791825</v>
      </c>
    </row>
    <row r="35" customFormat="false" ht="15" hidden="false" customHeight="false" outlineLevel="0" collapsed="false">
      <c r="A35" s="4" t="n">
        <v>31</v>
      </c>
      <c r="B35" s="4" t="s">
        <v>50</v>
      </c>
      <c r="C35" s="4" t="s">
        <v>80</v>
      </c>
      <c r="D35" s="4" t="s">
        <v>85</v>
      </c>
      <c r="E35" s="4" t="s">
        <v>86</v>
      </c>
      <c r="F35" s="5" t="n">
        <v>423.82</v>
      </c>
      <c r="G35" s="6" t="n">
        <f aca="false">INDEX(Reglas!$C$5:$C$8,MATCH(F35,Reglas!$A$5:$A$8,1))</f>
        <v>0.65</v>
      </c>
      <c r="H35" s="7"/>
      <c r="I35" s="8" t="n">
        <f aca="false">INDEX(Reglas!$D$5:$D$8,MATCH(F35,Reglas!$A$5:$A$8,1))</f>
        <v>540</v>
      </c>
      <c r="J35" s="9" t="n">
        <f aca="false">IF(H35="",MAX(F35*(1+G35),I35),F35*(1+H35))</f>
        <v>699.303</v>
      </c>
      <c r="K35" s="10" t="n">
        <f aca="false">IF(J35&lt;1000,CEILING(J35,10)-1,CEILING(J35,50)-1)</f>
        <v>699</v>
      </c>
      <c r="L35" s="9" t="n">
        <f aca="false">K35-F35</f>
        <v>275.18</v>
      </c>
      <c r="M35" s="11" t="n">
        <f aca="false">IF(K35=0,"",L35/K35)</f>
        <v>0.393676680972818</v>
      </c>
      <c r="N35" s="11" t="n">
        <f aca="false">IF(F35=0,"",K35/F35-1)</f>
        <v>0.649285073852107</v>
      </c>
    </row>
    <row r="36" customFormat="false" ht="15" hidden="false" customHeight="false" outlineLevel="0" collapsed="false">
      <c r="A36" s="4" t="n">
        <v>32</v>
      </c>
      <c r="B36" s="4" t="s">
        <v>50</v>
      </c>
      <c r="C36" s="4" t="s">
        <v>87</v>
      </c>
      <c r="D36" s="4" t="s">
        <v>88</v>
      </c>
      <c r="E36" s="4" t="s">
        <v>89</v>
      </c>
      <c r="F36" s="5" t="n">
        <v>436.23</v>
      </c>
      <c r="G36" s="6" t="n">
        <f aca="false">INDEX(Reglas!$C$5:$C$8,MATCH(F36,Reglas!$A$5:$A$8,1))</f>
        <v>0.65</v>
      </c>
      <c r="H36" s="7"/>
      <c r="I36" s="8" t="n">
        <f aca="false">INDEX(Reglas!$D$5:$D$8,MATCH(F36,Reglas!$A$5:$A$8,1))</f>
        <v>540</v>
      </c>
      <c r="J36" s="9" t="n">
        <f aca="false">IF(H36="",MAX(F36*(1+G36),I36),F36*(1+H36))</f>
        <v>719.7795</v>
      </c>
      <c r="K36" s="10" t="n">
        <f aca="false">IF(J36&lt;1000,CEILING(J36,10)-1,CEILING(J36,50)-1)</f>
        <v>719</v>
      </c>
      <c r="L36" s="9" t="n">
        <f aca="false">K36-F36</f>
        <v>282.77</v>
      </c>
      <c r="M36" s="11" t="n">
        <f aca="false">IF(K36=0,"",L36/K36)</f>
        <v>0.393282336578581</v>
      </c>
      <c r="N36" s="11" t="n">
        <f aca="false">IF(F36=0,"",K36/F36-1)</f>
        <v>0.648213098594778</v>
      </c>
    </row>
    <row r="37" customFormat="false" ht="15" hidden="false" customHeight="false" outlineLevel="0" collapsed="false">
      <c r="A37" s="4" t="n">
        <v>33</v>
      </c>
      <c r="B37" s="4" t="s">
        <v>50</v>
      </c>
      <c r="C37" s="4" t="s">
        <v>87</v>
      </c>
      <c r="D37" s="4" t="s">
        <v>90</v>
      </c>
      <c r="E37" s="4" t="s">
        <v>91</v>
      </c>
      <c r="F37" s="5" t="n">
        <v>509.54</v>
      </c>
      <c r="G37" s="6" t="n">
        <f aca="false">INDEX(Reglas!$C$5:$C$8,MATCH(F37,Reglas!$A$5:$A$8,1))</f>
        <v>0.65</v>
      </c>
      <c r="H37" s="7"/>
      <c r="I37" s="8" t="n">
        <f aca="false">INDEX(Reglas!$D$5:$D$8,MATCH(F37,Reglas!$A$5:$A$8,1))</f>
        <v>540</v>
      </c>
      <c r="J37" s="9" t="n">
        <f aca="false">IF(H37="",MAX(F37*(1+G37),I37),F37*(1+H37))</f>
        <v>840.741</v>
      </c>
      <c r="K37" s="10" t="n">
        <f aca="false">IF(J37&lt;1000,CEILING(J37,10)-1,CEILING(J37,50)-1)</f>
        <v>849</v>
      </c>
      <c r="L37" s="9" t="n">
        <f aca="false">K37-F37</f>
        <v>339.46</v>
      </c>
      <c r="M37" s="11" t="n">
        <f aca="false">IF(K37=0,"",L37/K37)</f>
        <v>0.399835100117786</v>
      </c>
      <c r="N37" s="11" t="n">
        <f aca="false">IF(F37=0,"",K37/F37-1)</f>
        <v>0.66620873729246</v>
      </c>
    </row>
    <row r="38" customFormat="false" ht="15" hidden="false" customHeight="false" outlineLevel="0" collapsed="false">
      <c r="A38" s="4" t="n">
        <v>34</v>
      </c>
      <c r="B38" s="4" t="s">
        <v>50</v>
      </c>
      <c r="C38" s="4" t="s">
        <v>92</v>
      </c>
      <c r="D38" s="4" t="s">
        <v>93</v>
      </c>
      <c r="E38" s="4" t="s">
        <v>94</v>
      </c>
      <c r="F38" s="5" t="n">
        <v>145.06</v>
      </c>
      <c r="G38" s="6" t="n">
        <f aca="false">INDEX(Reglas!$C$5:$C$8,MATCH(F38,Reglas!$A$5:$A$8,1))</f>
        <v>0.8</v>
      </c>
      <c r="H38" s="7"/>
      <c r="I38" s="8" t="n">
        <f aca="false">INDEX(Reglas!$D$5:$D$8,MATCH(F38,Reglas!$A$5:$A$8,1))</f>
        <v>0</v>
      </c>
      <c r="J38" s="9" t="n">
        <f aca="false">IF(H38="",MAX(F38*(1+G38),I38),F38*(1+H38))</f>
        <v>261.108</v>
      </c>
      <c r="K38" s="10" t="n">
        <f aca="false">IF(J38&lt;1000,CEILING(J38,10)-1,CEILING(J38,50)-1)</f>
        <v>269</v>
      </c>
      <c r="L38" s="9" t="n">
        <f aca="false">K38-F38</f>
        <v>123.94</v>
      </c>
      <c r="M38" s="11" t="n">
        <f aca="false">IF(K38=0,"",L38/K38)</f>
        <v>0.460743494423792</v>
      </c>
      <c r="N38" s="11" t="n">
        <f aca="false">IF(F38=0,"",K38/F38-1)</f>
        <v>0.854405073762581</v>
      </c>
    </row>
    <row r="39" customFormat="false" ht="15" hidden="false" customHeight="false" outlineLevel="0" collapsed="false">
      <c r="A39" s="4" t="n">
        <v>35</v>
      </c>
      <c r="B39" s="4" t="s">
        <v>50</v>
      </c>
      <c r="C39" s="4" t="s">
        <v>92</v>
      </c>
      <c r="D39" s="4" t="s">
        <v>95</v>
      </c>
      <c r="E39" s="4" t="s">
        <v>96</v>
      </c>
      <c r="F39" s="5" t="n">
        <v>157.44</v>
      </c>
      <c r="G39" s="6" t="n">
        <f aca="false">INDEX(Reglas!$C$5:$C$8,MATCH(F39,Reglas!$A$5:$A$8,1))</f>
        <v>0.8</v>
      </c>
      <c r="H39" s="7"/>
      <c r="I39" s="8" t="n">
        <f aca="false">INDEX(Reglas!$D$5:$D$8,MATCH(F39,Reglas!$A$5:$A$8,1))</f>
        <v>0</v>
      </c>
      <c r="J39" s="9" t="n">
        <f aca="false">IF(H39="",MAX(F39*(1+G39),I39),F39*(1+H39))</f>
        <v>283.392</v>
      </c>
      <c r="K39" s="10" t="n">
        <f aca="false">IF(J39&lt;1000,CEILING(J39,10)-1,CEILING(J39,50)-1)</f>
        <v>289</v>
      </c>
      <c r="L39" s="9" t="n">
        <f aca="false">K39-F39</f>
        <v>131.56</v>
      </c>
      <c r="M39" s="11" t="n">
        <f aca="false">IF(K39=0,"",L39/K39)</f>
        <v>0.45522491349481</v>
      </c>
      <c r="N39" s="11" t="n">
        <f aca="false">IF(F39=0,"",K39/F39-1)</f>
        <v>0.835619918699187</v>
      </c>
    </row>
    <row r="40" customFormat="false" ht="15" hidden="false" customHeight="false" outlineLevel="0" collapsed="false">
      <c r="A40" s="4" t="n">
        <v>36</v>
      </c>
      <c r="B40" s="4" t="s">
        <v>50</v>
      </c>
      <c r="C40" s="4" t="s">
        <v>92</v>
      </c>
      <c r="D40" s="4" t="s">
        <v>97</v>
      </c>
      <c r="E40" s="4" t="s">
        <v>98</v>
      </c>
      <c r="F40" s="5" t="n">
        <v>327.59</v>
      </c>
      <c r="G40" s="6" t="n">
        <f aca="false">INDEX(Reglas!$C$5:$C$8,MATCH(F40,Reglas!$A$5:$A$8,1))</f>
        <v>0.65</v>
      </c>
      <c r="H40" s="7"/>
      <c r="I40" s="8" t="n">
        <f aca="false">INDEX(Reglas!$D$5:$D$8,MATCH(F40,Reglas!$A$5:$A$8,1))</f>
        <v>540</v>
      </c>
      <c r="J40" s="9" t="n">
        <f aca="false">IF(H40="",MAX(F40*(1+G40),I40),F40*(1+H40))</f>
        <v>540.5235</v>
      </c>
      <c r="K40" s="10" t="n">
        <f aca="false">IF(J40&lt;1000,CEILING(J40,10)-1,CEILING(J40,50)-1)</f>
        <v>549</v>
      </c>
      <c r="L40" s="9" t="n">
        <f aca="false">K40-F40</f>
        <v>221.41</v>
      </c>
      <c r="M40" s="11" t="n">
        <f aca="false">IF(K40=0,"",L40/K40)</f>
        <v>0.403296903460838</v>
      </c>
      <c r="N40" s="11" t="n">
        <f aca="false">IF(F40=0,"",K40/F40-1)</f>
        <v>0.675875331969841</v>
      </c>
    </row>
    <row r="41" customFormat="false" ht="15" hidden="false" customHeight="false" outlineLevel="0" collapsed="false">
      <c r="A41" s="4" t="n">
        <v>37</v>
      </c>
      <c r="B41" s="4" t="s">
        <v>50</v>
      </c>
      <c r="C41" s="4" t="s">
        <v>92</v>
      </c>
      <c r="D41" s="4" t="s">
        <v>99</v>
      </c>
      <c r="E41" s="4" t="s">
        <v>100</v>
      </c>
      <c r="F41" s="5" t="n">
        <v>416.39</v>
      </c>
      <c r="G41" s="6" t="n">
        <f aca="false">INDEX(Reglas!$C$5:$C$8,MATCH(F41,Reglas!$A$5:$A$8,1))</f>
        <v>0.65</v>
      </c>
      <c r="H41" s="7"/>
      <c r="I41" s="8" t="n">
        <f aca="false">INDEX(Reglas!$D$5:$D$8,MATCH(F41,Reglas!$A$5:$A$8,1))</f>
        <v>540</v>
      </c>
      <c r="J41" s="9" t="n">
        <f aca="false">IF(H41="",MAX(F41*(1+G41),I41),F41*(1+H41))</f>
        <v>687.0435</v>
      </c>
      <c r="K41" s="10" t="n">
        <f aca="false">IF(J41&lt;1000,CEILING(J41,10)-1,CEILING(J41,50)-1)</f>
        <v>689</v>
      </c>
      <c r="L41" s="9" t="n">
        <f aca="false">K41-F41</f>
        <v>272.61</v>
      </c>
      <c r="M41" s="11" t="n">
        <f aca="false">IF(K41=0,"",L41/K41)</f>
        <v>0.395660377358491</v>
      </c>
      <c r="N41" s="11" t="n">
        <f aca="false">IF(F41=0,"",K41/F41-1)</f>
        <v>0.654698719950047</v>
      </c>
    </row>
    <row r="42" customFormat="false" ht="15" hidden="false" customHeight="false" outlineLevel="0" collapsed="false">
      <c r="A42" s="4" t="n">
        <v>38</v>
      </c>
      <c r="B42" s="4" t="s">
        <v>50</v>
      </c>
      <c r="C42" s="4" t="s">
        <v>92</v>
      </c>
      <c r="D42" s="4" t="s">
        <v>101</v>
      </c>
      <c r="E42" s="4" t="s">
        <v>102</v>
      </c>
      <c r="F42" s="5" t="n">
        <v>496.84</v>
      </c>
      <c r="G42" s="6" t="n">
        <f aca="false">INDEX(Reglas!$C$5:$C$8,MATCH(F42,Reglas!$A$5:$A$8,1))</f>
        <v>0.65</v>
      </c>
      <c r="H42" s="7"/>
      <c r="I42" s="8" t="n">
        <f aca="false">INDEX(Reglas!$D$5:$D$8,MATCH(F42,Reglas!$A$5:$A$8,1))</f>
        <v>540</v>
      </c>
      <c r="J42" s="9" t="n">
        <f aca="false">IF(H42="",MAX(F42*(1+G42),I42),F42*(1+H42))</f>
        <v>819.786</v>
      </c>
      <c r="K42" s="10" t="n">
        <f aca="false">IF(J42&lt;1000,CEILING(J42,10)-1,CEILING(J42,50)-1)</f>
        <v>819</v>
      </c>
      <c r="L42" s="9" t="n">
        <f aca="false">K42-F42</f>
        <v>322.16</v>
      </c>
      <c r="M42" s="11" t="n">
        <f aca="false">IF(K42=0,"",L42/K42)</f>
        <v>0.393357753357753</v>
      </c>
      <c r="N42" s="11" t="n">
        <f aca="false">IF(F42=0,"",K42/F42-1)</f>
        <v>0.648418001771194</v>
      </c>
    </row>
    <row r="43" customFormat="false" ht="15" hidden="false" customHeight="false" outlineLevel="0" collapsed="false">
      <c r="A43" s="4" t="n">
        <v>39</v>
      </c>
      <c r="B43" s="4" t="s">
        <v>50</v>
      </c>
      <c r="C43" s="4" t="s">
        <v>92</v>
      </c>
      <c r="D43" s="4" t="s">
        <v>103</v>
      </c>
      <c r="E43" s="4" t="s">
        <v>104</v>
      </c>
      <c r="F43" s="5" t="n">
        <v>1405.86</v>
      </c>
      <c r="G43" s="6" t="n">
        <f aca="false">INDEX(Reglas!$C$5:$C$8,MATCH(F43,Reglas!$A$5:$A$8,1))</f>
        <v>0.45</v>
      </c>
      <c r="H43" s="7"/>
      <c r="I43" s="8" t="n">
        <f aca="false">INDEX(Reglas!$D$5:$D$8,MATCH(F43,Reglas!$A$5:$A$8,1))</f>
        <v>1860</v>
      </c>
      <c r="J43" s="9" t="n">
        <f aca="false">IF(H43="",MAX(F43*(1+G43),I43),F43*(1+H43))</f>
        <v>2038.497</v>
      </c>
      <c r="K43" s="10" t="n">
        <f aca="false">IF(J43&lt;1000,CEILING(J43,10)-1,CEILING(J43,50)-1)</f>
        <v>2049</v>
      </c>
      <c r="L43" s="9" t="n">
        <f aca="false">K43-F43</f>
        <v>643.14</v>
      </c>
      <c r="M43" s="11" t="n">
        <f aca="false">IF(K43=0,"",L43/K43)</f>
        <v>0.313879941434846</v>
      </c>
      <c r="N43" s="11" t="n">
        <f aca="false">IF(F43=0,"",K43/F43-1)</f>
        <v>0.457470871921813</v>
      </c>
    </row>
    <row r="44" customFormat="false" ht="15" hidden="false" customHeight="false" outlineLevel="0" collapsed="false">
      <c r="A44" s="12"/>
      <c r="B44" s="12"/>
      <c r="C44" s="12"/>
      <c r="D44" s="12"/>
      <c r="E44" s="13" t="s">
        <v>105</v>
      </c>
      <c r="F44" s="14" t="n">
        <f aca="false">SUM(F5:F43)</f>
        <v>20784</v>
      </c>
      <c r="G44" s="12"/>
      <c r="H44" s="12"/>
      <c r="I44" s="12"/>
      <c r="J44" s="12"/>
      <c r="K44" s="15" t="n">
        <f aca="false">SUM(K5:K43)</f>
        <v>33331</v>
      </c>
      <c r="L44" s="14" t="n">
        <f aca="false">SUM(L5:L43)</f>
        <v>12547</v>
      </c>
      <c r="M44" s="16" t="n">
        <f aca="false">IF(K44=0,"",L44/K44)</f>
        <v>0.376436350544538</v>
      </c>
      <c r="N44" s="12"/>
    </row>
  </sheetData>
  <autoFilter ref="A4:N43"/>
  <mergeCells count="1"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" t="s">
        <v>106</v>
      </c>
    </row>
    <row r="3" customFormat="false" ht="31.5" hidden="false" customHeight="true" outlineLevel="0" collapsed="false">
      <c r="A3" s="3" t="s">
        <v>3</v>
      </c>
      <c r="B3" s="3" t="s">
        <v>107</v>
      </c>
      <c r="C3" s="3" t="s">
        <v>108</v>
      </c>
      <c r="D3" s="3" t="s">
        <v>109</v>
      </c>
      <c r="E3" s="3" t="s">
        <v>110</v>
      </c>
      <c r="F3" s="3" t="s">
        <v>14</v>
      </c>
    </row>
    <row r="4" customFormat="false" ht="15" hidden="false" customHeight="false" outlineLevel="0" collapsed="false">
      <c r="A4" s="17" t="s">
        <v>16</v>
      </c>
      <c r="B4" s="17" t="n">
        <f aca="false">COUNTIF(Precios!$B$5:$B$43,A4)</f>
        <v>15</v>
      </c>
      <c r="C4" s="18" t="n">
        <f aca="false">SUMIF(Precios!$B$5:$B$43,A4,Precios!$F$5:$F$43)</f>
        <v>6706.02</v>
      </c>
      <c r="D4" s="19" t="n">
        <f aca="false">SUMIF(Precios!$B$5:$B$43,A4,Precios!$K$5:$K$43)</f>
        <v>11015</v>
      </c>
      <c r="E4" s="18" t="n">
        <f aca="false">SUMIF(Precios!$B$5:$B$43,A4,Precios!$L$5:$L$43)</f>
        <v>4308.98</v>
      </c>
      <c r="F4" s="20" t="n">
        <f aca="false">IF(D4=0,"",E4/D4)</f>
        <v>0.391192010894235</v>
      </c>
    </row>
    <row r="5" customFormat="false" ht="15" hidden="false" customHeight="false" outlineLevel="0" collapsed="false">
      <c r="A5" s="17" t="s">
        <v>50</v>
      </c>
      <c r="B5" s="17" t="n">
        <f aca="false">COUNTIF(Precios!$B$5:$B$43,A5)</f>
        <v>24</v>
      </c>
      <c r="C5" s="18" t="n">
        <f aca="false">SUMIF(Precios!$B$5:$B$43,A5,Precios!$F$5:$F$43)</f>
        <v>14077.98</v>
      </c>
      <c r="D5" s="19" t="n">
        <f aca="false">SUMIF(Precios!$B$5:$B$43,A5,Precios!$K$5:$K$43)</f>
        <v>22316</v>
      </c>
      <c r="E5" s="18" t="n">
        <f aca="false">SUMIF(Precios!$B$5:$B$43,A5,Precios!$L$5:$L$43)</f>
        <v>8238.02</v>
      </c>
      <c r="F5" s="20" t="n">
        <f aca="false">IF(D5=0,"",E5/D5)</f>
        <v>0.369153074027604</v>
      </c>
    </row>
    <row r="6" customFormat="false" ht="15" hidden="false" customHeight="false" outlineLevel="0" collapsed="false">
      <c r="A6" s="13" t="s">
        <v>111</v>
      </c>
      <c r="B6" s="13" t="n">
        <f aca="false">SUM(B4:B5)</f>
        <v>39</v>
      </c>
      <c r="C6" s="14" t="n">
        <f aca="false">SUM(C4:C5)</f>
        <v>20784</v>
      </c>
      <c r="D6" s="15" t="n">
        <f aca="false">SUM(D4:D5)</f>
        <v>33331</v>
      </c>
      <c r="E6" s="14" t="n">
        <f aca="false">SUM(E4:E5)</f>
        <v>12547</v>
      </c>
      <c r="F6" s="16" t="n">
        <f aca="false">IF(D6=0,"",E6/D6)</f>
        <v>0.376436350544538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20"/>
  </cols>
  <sheetData>
    <row r="1" customFormat="false" ht="17.35" hidden="false" customHeight="false" outlineLevel="0" collapsed="false">
      <c r="A1" s="1" t="s">
        <v>112</v>
      </c>
    </row>
    <row r="2" customFormat="false" ht="15" hidden="false" customHeight="false" outlineLevel="0" collapsed="false">
      <c r="A2" s="21" t="s">
        <v>113</v>
      </c>
    </row>
    <row r="4" customFormat="false" ht="31.5" hidden="false" customHeight="true" outlineLevel="0" collapsed="false">
      <c r="A4" s="3" t="s">
        <v>114</v>
      </c>
      <c r="B4" s="3" t="s">
        <v>115</v>
      </c>
      <c r="C4" s="3" t="s">
        <v>116</v>
      </c>
      <c r="D4" s="3" t="s">
        <v>10</v>
      </c>
    </row>
    <row r="5" customFormat="false" ht="15" hidden="false" customHeight="false" outlineLevel="0" collapsed="false">
      <c r="A5" s="22" t="n">
        <v>0</v>
      </c>
      <c r="B5" s="17" t="s">
        <v>117</v>
      </c>
      <c r="C5" s="23" t="n">
        <v>0.8</v>
      </c>
      <c r="D5" s="18" t="n">
        <v>0</v>
      </c>
    </row>
    <row r="6" customFormat="false" ht="15" hidden="false" customHeight="false" outlineLevel="0" collapsed="false">
      <c r="A6" s="22" t="n">
        <v>300</v>
      </c>
      <c r="B6" s="17" t="s">
        <v>118</v>
      </c>
      <c r="C6" s="23" t="n">
        <v>0.65</v>
      </c>
      <c r="D6" s="18" t="n">
        <f aca="false">A6*(1+C5)</f>
        <v>540</v>
      </c>
    </row>
    <row r="7" customFormat="false" ht="15" hidden="false" customHeight="false" outlineLevel="0" collapsed="false">
      <c r="A7" s="22" t="n">
        <v>700</v>
      </c>
      <c r="B7" s="17" t="s">
        <v>119</v>
      </c>
      <c r="C7" s="23" t="n">
        <v>0.55</v>
      </c>
      <c r="D7" s="18" t="n">
        <f aca="false">A7*(1+C6)</f>
        <v>1155</v>
      </c>
    </row>
    <row r="8" customFormat="false" ht="15" hidden="false" customHeight="false" outlineLevel="0" collapsed="false">
      <c r="A8" s="22" t="n">
        <v>1200</v>
      </c>
      <c r="B8" s="17" t="s">
        <v>120</v>
      </c>
      <c r="C8" s="23" t="n">
        <v>0.45</v>
      </c>
      <c r="D8" s="18" t="n">
        <f aca="false">A8*(1+C7)</f>
        <v>1860</v>
      </c>
    </row>
    <row r="10" customFormat="false" ht="15" hidden="false" customHeight="false" outlineLevel="0" collapsed="false">
      <c r="A10" s="24" t="s">
        <v>121</v>
      </c>
    </row>
    <row r="11" customFormat="false" ht="15" hidden="false" customHeight="false" outlineLevel="0" collapsed="false">
      <c r="A11" s="24" t="s">
        <v>122</v>
      </c>
    </row>
    <row r="12" customFormat="false" ht="15" hidden="false" customHeight="false" outlineLevel="0" collapsed="false">
      <c r="A12" s="24" t="s">
        <v>123</v>
      </c>
    </row>
    <row r="13" customFormat="false" ht="15" hidden="false" customHeight="false" outlineLevel="0" collapsed="false">
      <c r="A13" s="24" t="s">
        <v>124</v>
      </c>
    </row>
    <row r="14" customFormat="false" ht="15" hidden="false" customHeight="false" outlineLevel="0" collapsed="false">
      <c r="A14" s="24" t="s">
        <v>125</v>
      </c>
    </row>
    <row r="15" customFormat="false" ht="15" hidden="false" customHeight="false" outlineLevel="0" collapsed="false">
      <c r="A15" s="24" t="s">
        <v>126</v>
      </c>
    </row>
    <row r="16" customFormat="false" ht="15" hidden="false" customHeight="false" outlineLevel="0" collapsed="false">
      <c r="A16" s="24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30"/>
  </cols>
  <sheetData>
    <row r="1" customFormat="false" ht="17.35" hidden="false" customHeight="false" outlineLevel="0" collapsed="false">
      <c r="A1" s="1" t="s">
        <v>128</v>
      </c>
    </row>
    <row r="3" customFormat="false" ht="19.5" hidden="false" customHeight="true" outlineLevel="0" collapsed="false">
      <c r="A3" s="3" t="s">
        <v>3</v>
      </c>
      <c r="B3" s="3" t="s">
        <v>129</v>
      </c>
      <c r="C3" s="3" t="s">
        <v>130</v>
      </c>
      <c r="D3" s="3" t="s">
        <v>131</v>
      </c>
    </row>
    <row r="4" customFormat="false" ht="15" hidden="false" customHeight="false" outlineLevel="0" collapsed="false">
      <c r="A4" s="17" t="s">
        <v>16</v>
      </c>
      <c r="B4" s="17" t="s">
        <v>132</v>
      </c>
      <c r="C4" s="25"/>
      <c r="D4" s="17" t="s">
        <v>133</v>
      </c>
    </row>
    <row r="5" customFormat="false" ht="15" hidden="false" customHeight="false" outlineLevel="0" collapsed="false">
      <c r="A5" s="17" t="s">
        <v>16</v>
      </c>
      <c r="B5" s="17" t="s">
        <v>134</v>
      </c>
      <c r="C5" s="25"/>
      <c r="D5" s="17" t="s">
        <v>133</v>
      </c>
    </row>
    <row r="6" customFormat="false" ht="15" hidden="false" customHeight="false" outlineLevel="0" collapsed="false">
      <c r="A6" s="17" t="s">
        <v>50</v>
      </c>
      <c r="B6" s="17" t="s">
        <v>135</v>
      </c>
      <c r="C6" s="25"/>
      <c r="D6" s="17" t="s">
        <v>133</v>
      </c>
    </row>
    <row r="7" customFormat="false" ht="15" hidden="false" customHeight="false" outlineLevel="0" collapsed="false">
      <c r="A7" s="17" t="s">
        <v>50</v>
      </c>
      <c r="B7" s="17" t="s">
        <v>136</v>
      </c>
      <c r="C7" s="25" t="n">
        <v>239.56</v>
      </c>
      <c r="D7" s="17" t="s">
        <v>137</v>
      </c>
    </row>
    <row r="8" customFormat="false" ht="15" hidden="false" customHeight="false" outlineLevel="0" collapsed="false">
      <c r="A8" s="17" t="s">
        <v>50</v>
      </c>
      <c r="B8" s="17" t="s">
        <v>136</v>
      </c>
      <c r="C8" s="25" t="n">
        <v>556.04</v>
      </c>
      <c r="D8" s="17" t="s">
        <v>137</v>
      </c>
    </row>
    <row r="10" customFormat="false" ht="15" hidden="false" customHeight="false" outlineLevel="0" collapsed="false">
      <c r="A10" s="21" t="s">
        <v>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2026-10-31T17:44:28Z</dcterms:created>
  <dc:creator>openpyxl</dc:creator>
  <dc:description/>
  <dc:language>en-US</dc:language>
  <cp:lastModifiedBy/>
  <dcterms:modified xsi:type="dcterms:W3CDTF">2026-10-31T17:44:28Z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