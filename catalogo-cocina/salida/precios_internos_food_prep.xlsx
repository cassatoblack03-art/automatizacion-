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  <sheet name="Reglas" sheetId="2" state="visible" r:id="rId4"/>
    <sheet name="Pendie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9" authorId="0">
      <text>
        <r>
          <rPr>
            <sz val="10"/>
            <rFont val="Arial"/>
            <family val="2"/>
          </rPr>
          <t xml:space="preserve">Costos tomados de las capturas de la app 'Venta Empleado' que mandó el usuario (pestaña Food Prep).</t>
        </r>
      </text>
    </comment>
  </commentList>
</comments>
</file>

<file path=xl/sharedStrings.xml><?xml version="1.0" encoding="utf-8"?>
<sst xmlns="http://schemas.openxmlformats.org/spreadsheetml/2006/main" count="112" uniqueCount="92">
  <si>
    <t xml:space="preserve">Lista de precios interna — Food Prep (NO compartir con clientes)</t>
  </si>
  <si>
    <t xml:space="preserve">Azul = dato que puedes cambiar (costo). Amarillo = aumento manual opcional (ej. 0.70 = +70 %); si lo dejas vacío se usa la regla de la hoja 'Reglas'. Verde = viene de la hoja 'Reglas'. Negro = fórmula.</t>
  </si>
  <si>
    <t xml:space="preserve">#</t>
  </si>
  <si>
    <t xml:space="preserve">Categoría</t>
  </si>
  <si>
    <t xml:space="preserve">Producto (como sale en la app)</t>
  </si>
  <si>
    <t xml:space="preserve">Nombre en catálogo</t>
  </si>
  <si>
    <t xml:space="preserve">Costo (MXN)</t>
  </si>
  <si>
    <t xml:space="preserve">Aumento por regla</t>
  </si>
  <si>
    <t xml:space="preserve">Aumento manual (opcional)</t>
  </si>
  <si>
    <t xml:space="preserve">Aumento aplicado</t>
  </si>
  <si>
    <t xml:space="preserve">Precio sin redondear (MXN)</t>
  </si>
  <si>
    <t xml:space="preserve">Precio de venta (MXN)</t>
  </si>
  <si>
    <t xml:space="preserve">Ganancia por pieza (MXN)</t>
  </si>
  <si>
    <t xml:space="preserve">Margen sobre venta</t>
  </si>
  <si>
    <t xml:space="preserve">Licuadoras</t>
  </si>
  <si>
    <t xml:space="preserve">LIC INFINYFORCE XL 10v ROJA</t>
  </si>
  <si>
    <t xml:space="preserve">Licuadora Infinyforce XL Roja 10 vel.</t>
  </si>
  <si>
    <t xml:space="preserve">LIC INFINYFORCE XL 12V BL</t>
  </si>
  <si>
    <t xml:space="preserve">Licuadora Infinyforce XL Blanca 12 vel.</t>
  </si>
  <si>
    <t xml:space="preserve">LIC INFINYFORCE XL 12V RED</t>
  </si>
  <si>
    <t xml:space="preserve">Licuadora Infinyforce XL Roja 12 vel.</t>
  </si>
  <si>
    <t xml:space="preserve">LIC INFINYFORCE XL 14V NEGRA</t>
  </si>
  <si>
    <t xml:space="preserve">Licuadora Infinyforce XL Negra 14 vel.</t>
  </si>
  <si>
    <t xml:space="preserve">LIC ULTRAFORCE+ 2V MX</t>
  </si>
  <si>
    <t xml:space="preserve">Licuadora Ultraforce+ 2 vel.</t>
  </si>
  <si>
    <t xml:space="preserve">LIC ULTRAFORCE+ 8V MX</t>
  </si>
  <si>
    <t xml:space="preserve">Licuadora Ultraforce+ 8 vel.</t>
  </si>
  <si>
    <t xml:space="preserve">Licuadoras de alto rendimiento</t>
  </si>
  <si>
    <t xml:space="preserve">LIC. ULTRAFORCE PRO INOX</t>
  </si>
  <si>
    <t xml:space="preserve">Licuadora Ultraforce Pro Inox</t>
  </si>
  <si>
    <t xml:space="preserve">LIC. ULTRAFORCE PRO NEGRA</t>
  </si>
  <si>
    <t xml:space="preserve">Licuadora Ultraforce Pro Negra</t>
  </si>
  <si>
    <t xml:space="preserve">LIC. INFINYMIX</t>
  </si>
  <si>
    <t xml:space="preserve">Licuadora Infinymix</t>
  </si>
  <si>
    <t xml:space="preserve">LIC. ULTRAFORCE COOK</t>
  </si>
  <si>
    <t xml:space="preserve">Licuadora Ultraforce Cook</t>
  </si>
  <si>
    <t xml:space="preserve">Licuadoras personales</t>
  </si>
  <si>
    <t xml:space="preserve">LIGHT MIX EUCALYPTUS</t>
  </si>
  <si>
    <t xml:space="preserve">Licuadora portátil Light Mix Eucalyptus</t>
  </si>
  <si>
    <t xml:space="preserve">LIGHT MIX NEST</t>
  </si>
  <si>
    <t xml:space="preserve">Licuadora portátil Light Mix Nest</t>
  </si>
  <si>
    <t xml:space="preserve">BLEND UP</t>
  </si>
  <si>
    <t xml:space="preserve">Licuadora personal Blend Up</t>
  </si>
  <si>
    <t xml:space="preserve">Batidoras de inmersión</t>
  </si>
  <si>
    <t xml:space="preserve">TURBOMIX NEGRO 200 WATTS</t>
  </si>
  <si>
    <t xml:space="preserve">Batidora de inmersión Turbomix</t>
  </si>
  <si>
    <t xml:space="preserve">TURBOMIX MAX ACCESORIOS 400W</t>
  </si>
  <si>
    <t xml:space="preserve">Batidora Turbomix Max con accesorios</t>
  </si>
  <si>
    <t xml:space="preserve">DAILY CHEF</t>
  </si>
  <si>
    <t xml:space="preserve">Batidora de inmersión Daily Chef</t>
  </si>
  <si>
    <t xml:space="preserve">Procesadores y picadores</t>
  </si>
  <si>
    <t xml:space="preserve">CHOPPEO</t>
  </si>
  <si>
    <t xml:space="preserve">Picador Choppeo</t>
  </si>
  <si>
    <t xml:space="preserve">MINI PROCESADOR ACTIMIX</t>
  </si>
  <si>
    <t xml:space="preserve">Mini procesador Actimix</t>
  </si>
  <si>
    <t xml:space="preserve">Exprimidores y extractores</t>
  </si>
  <si>
    <t xml:space="preserve">EXPRIMIDOR NEGRO BASICO</t>
  </si>
  <si>
    <t xml:space="preserve">Exprimidor de cítricos básico</t>
  </si>
  <si>
    <t xml:space="preserve">EXPRIMIDOR POWER PRESS40W BLACK / INOX</t>
  </si>
  <si>
    <t xml:space="preserve">Exprimidor Power Press</t>
  </si>
  <si>
    <t xml:space="preserve">EXPRIMIDOR TURBO PRESS 100W INOX</t>
  </si>
  <si>
    <t xml:space="preserve">Exprimidor Turbo Press Inox</t>
  </si>
  <si>
    <t xml:space="preserve">FRUTELIA PLUS NEGRO</t>
  </si>
  <si>
    <t xml:space="preserve">Extractor de jugos Frutelia Plus Negro</t>
  </si>
  <si>
    <t xml:space="preserve">FRUTELIA PLUS METAL 400W</t>
  </si>
  <si>
    <t xml:space="preserve">Extractor de jugos Frutelia Plus Metal</t>
  </si>
  <si>
    <t xml:space="preserve">SLOW JUICER JUICE n CLEAN</t>
  </si>
  <si>
    <t xml:space="preserve">Extractor en frío Slow Juicer Juice n Clean</t>
  </si>
  <si>
    <t xml:space="preserve">TOTAL (1 pieza de cada uno)</t>
  </si>
  <si>
    <t xml:space="preserve">Reglas de aumento por rango de costo</t>
  </si>
  <si>
    <t xml:space="preserve">Celdas azules = puedes cambiarlas. El Excel recalcula todos los precios solo.</t>
  </si>
  <si>
    <t xml:space="preserve">Costo desde (MXN)</t>
  </si>
  <si>
    <t xml:space="preserve">Rango</t>
  </si>
  <si>
    <t xml:space="preserve">Aumento %</t>
  </si>
  <si>
    <t xml:space="preserve">$0 a $299.99</t>
  </si>
  <si>
    <t xml:space="preserve">$300 a $699.99</t>
  </si>
  <si>
    <t xml:space="preserve">$700 a $1,199.99</t>
  </si>
  <si>
    <t xml:space="preserve">$1,200 en adelante</t>
  </si>
  <si>
    <t xml:space="preserve">Redondeo: si el precio queda abajo de $1,000 se sube al siguiente número terminado en 9 (ej. $593 → $599).</t>
  </si>
  <si>
    <t xml:space="preserve">Si queda en $1,000 o más se sube al siguiente terminado en 49 o 99 (ej. $1,473 → $1,499).</t>
  </si>
  <si>
    <t xml:space="preserve">Criterio: % más alto en productos baratos (para que la ganancia en pesos valga la pena) y más bajo en los caros</t>
  </si>
  <si>
    <t xml:space="preserve">(para que el precio siga siendo atractivo frente a tienda). Supuestos propuestos por Claude; ajústalos a tu gusto.</t>
  </si>
  <si>
    <t xml:space="preserve">La columna 'Rango' es solo texto descriptivo: si cambias 'Costo desde', actualízala a mano.</t>
  </si>
  <si>
    <t xml:space="preserve">Productos con datos incompletos (no salen en el catálogo)</t>
  </si>
  <si>
    <t xml:space="preserve">Producto (app)</t>
  </si>
  <si>
    <t xml:space="preserve">Costo visto (MXN)</t>
  </si>
  <si>
    <t xml:space="preserve">Qué falta</t>
  </si>
  <si>
    <t xml:space="preserve">QUICK CHEF+</t>
  </si>
  <si>
    <t xml:space="preserve">Precio (no se ve en la foto)</t>
  </si>
  <si>
    <t xml:space="preserve">(nombre cortado en la foto)</t>
  </si>
  <si>
    <t xml:space="preserve">Nombre (cortado en la foto)</t>
  </si>
  <si>
    <t xml:space="preserve">La app dice 'Artículos encontrados: 37' en Food Prep; en las fotos se alcanzan a ver 27. Manda capturas de los que faltan para completarlo.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</si>
</sst>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;\(0.0%\);\-"/>
    <numFmt numFmtId="167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1"/>
      <color rgb="FF37415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2410C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E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4" t="s">
        <v>14</v>
      </c>
      <c r="C5" s="4" t="s">
        <v>15</v>
      </c>
      <c r="D5" s="4" t="s">
        <v>16</v>
      </c>
      <c r="E5" s="5" t="n">
        <v>362.5</v>
      </c>
      <c r="F5" s="6" t="n">
        <f aca="false">INDEX(Reglas!$C$5:$C$8,MATCH(E5,Reglas!$A$5:$A$8,1))</f>
        <v>0.65</v>
      </c>
      <c r="G5" s="7"/>
      <c r="H5" s="8" t="n">
        <f aca="false">IF(G5="",F5,G5)</f>
        <v>0.65</v>
      </c>
      <c r="I5" s="9" t="n">
        <f aca="false">E5*(1+H5)</f>
        <v>598.125</v>
      </c>
      <c r="J5" s="10" t="n">
        <f aca="false">IF(I5&lt;1000,CEILING(I5,10)-1,CEILING(I5,50)-1)</f>
        <v>599</v>
      </c>
      <c r="K5" s="9" t="n">
        <f aca="false">J5-E5</f>
        <v>236.5</v>
      </c>
      <c r="L5" s="8" t="n">
        <f aca="false">IF(J5=0,"",K5/J5)</f>
        <v>0.394824707846411</v>
      </c>
    </row>
    <row r="6" customFormat="false" ht="15" hidden="false" customHeight="false" outlineLevel="0" collapsed="false">
      <c r="A6" s="4" t="n">
        <v>2</v>
      </c>
      <c r="B6" s="4" t="s">
        <v>14</v>
      </c>
      <c r="C6" s="4" t="s">
        <v>17</v>
      </c>
      <c r="D6" s="4" t="s">
        <v>18</v>
      </c>
      <c r="E6" s="5" t="n">
        <v>384.06</v>
      </c>
      <c r="F6" s="6" t="n">
        <f aca="false">INDEX(Reglas!$C$5:$C$8,MATCH(E6,Reglas!$A$5:$A$8,1))</f>
        <v>0.65</v>
      </c>
      <c r="G6" s="7"/>
      <c r="H6" s="8" t="n">
        <f aca="false">IF(G6="",F6,G6)</f>
        <v>0.65</v>
      </c>
      <c r="I6" s="9" t="n">
        <f aca="false">E6*(1+H6)</f>
        <v>633.699</v>
      </c>
      <c r="J6" s="10" t="n">
        <f aca="false">IF(I6&lt;1000,CEILING(I6,10)-1,CEILING(I6,50)-1)</f>
        <v>639</v>
      </c>
      <c r="K6" s="9" t="n">
        <f aca="false">J6-E6</f>
        <v>254.94</v>
      </c>
      <c r="L6" s="8" t="n">
        <f aca="false">IF(J6=0,"",K6/J6)</f>
        <v>0.398967136150235</v>
      </c>
    </row>
    <row r="7" customFormat="false" ht="15" hidden="false" customHeight="false" outlineLevel="0" collapsed="false">
      <c r="A7" s="4" t="n">
        <v>3</v>
      </c>
      <c r="B7" s="4" t="s">
        <v>14</v>
      </c>
      <c r="C7" s="4" t="s">
        <v>19</v>
      </c>
      <c r="D7" s="4" t="s">
        <v>20</v>
      </c>
      <c r="E7" s="5" t="n">
        <v>384.59</v>
      </c>
      <c r="F7" s="6" t="n">
        <f aca="false">INDEX(Reglas!$C$5:$C$8,MATCH(E7,Reglas!$A$5:$A$8,1))</f>
        <v>0.65</v>
      </c>
      <c r="G7" s="7"/>
      <c r="H7" s="8" t="n">
        <f aca="false">IF(G7="",F7,G7)</f>
        <v>0.65</v>
      </c>
      <c r="I7" s="9" t="n">
        <f aca="false">E7*(1+H7)</f>
        <v>634.5735</v>
      </c>
      <c r="J7" s="10" t="n">
        <f aca="false">IF(I7&lt;1000,CEILING(I7,10)-1,CEILING(I7,50)-1)</f>
        <v>639</v>
      </c>
      <c r="K7" s="9" t="n">
        <f aca="false">J7-E7</f>
        <v>254.41</v>
      </c>
      <c r="L7" s="8" t="n">
        <f aca="false">IF(J7=0,"",K7/J7)</f>
        <v>0.398137715179969</v>
      </c>
    </row>
    <row r="8" customFormat="false" ht="15" hidden="false" customHeight="false" outlineLevel="0" collapsed="false">
      <c r="A8" s="4" t="n">
        <v>4</v>
      </c>
      <c r="B8" s="4" t="s">
        <v>14</v>
      </c>
      <c r="C8" s="4" t="s">
        <v>21</v>
      </c>
      <c r="D8" s="4" t="s">
        <v>22</v>
      </c>
      <c r="E8" s="5" t="n">
        <v>419.93</v>
      </c>
      <c r="F8" s="6" t="n">
        <f aca="false">INDEX(Reglas!$C$5:$C$8,MATCH(E8,Reglas!$A$5:$A$8,1))</f>
        <v>0.65</v>
      </c>
      <c r="G8" s="7"/>
      <c r="H8" s="8" t="n">
        <f aca="false">IF(G8="",F8,G8)</f>
        <v>0.65</v>
      </c>
      <c r="I8" s="9" t="n">
        <f aca="false">E8*(1+H8)</f>
        <v>692.8845</v>
      </c>
      <c r="J8" s="10" t="n">
        <f aca="false">IF(I8&lt;1000,CEILING(I8,10)-1,CEILING(I8,50)-1)</f>
        <v>699</v>
      </c>
      <c r="K8" s="9" t="n">
        <f aca="false">J8-E8</f>
        <v>279.07</v>
      </c>
      <c r="L8" s="8" t="n">
        <f aca="false">IF(J8=0,"",K8/J8)</f>
        <v>0.399241773962804</v>
      </c>
    </row>
    <row r="9" customFormat="false" ht="15" hidden="false" customHeight="false" outlineLevel="0" collapsed="false">
      <c r="A9" s="4" t="n">
        <v>5</v>
      </c>
      <c r="B9" s="4" t="s">
        <v>14</v>
      </c>
      <c r="C9" s="4" t="s">
        <v>23</v>
      </c>
      <c r="D9" s="4" t="s">
        <v>24</v>
      </c>
      <c r="E9" s="5" t="n">
        <v>525.56</v>
      </c>
      <c r="F9" s="6" t="n">
        <f aca="false">INDEX(Reglas!$C$5:$C$8,MATCH(E9,Reglas!$A$5:$A$8,1))</f>
        <v>0.65</v>
      </c>
      <c r="G9" s="7"/>
      <c r="H9" s="8" t="n">
        <f aca="false">IF(G9="",F9,G9)</f>
        <v>0.65</v>
      </c>
      <c r="I9" s="9" t="n">
        <f aca="false">E9*(1+H9)</f>
        <v>867.174</v>
      </c>
      <c r="J9" s="10" t="n">
        <f aca="false">IF(I9&lt;1000,CEILING(I9,10)-1,CEILING(I9,50)-1)</f>
        <v>869</v>
      </c>
      <c r="K9" s="9" t="n">
        <f aca="false">J9-E9</f>
        <v>343.44</v>
      </c>
      <c r="L9" s="8" t="n">
        <f aca="false">IF(J9=0,"",K9/J9)</f>
        <v>0.395212888377445</v>
      </c>
    </row>
    <row r="10" customFormat="false" ht="15" hidden="false" customHeight="false" outlineLevel="0" collapsed="false">
      <c r="A10" s="4" t="n">
        <v>6</v>
      </c>
      <c r="B10" s="4" t="s">
        <v>14</v>
      </c>
      <c r="C10" s="4" t="s">
        <v>25</v>
      </c>
      <c r="D10" s="4" t="s">
        <v>26</v>
      </c>
      <c r="E10" s="5" t="n">
        <v>550.83</v>
      </c>
      <c r="F10" s="6" t="n">
        <f aca="false">INDEX(Reglas!$C$5:$C$8,MATCH(E10,Reglas!$A$5:$A$8,1))</f>
        <v>0.65</v>
      </c>
      <c r="G10" s="7"/>
      <c r="H10" s="8" t="n">
        <f aca="false">IF(G10="",F10,G10)</f>
        <v>0.65</v>
      </c>
      <c r="I10" s="9" t="n">
        <f aca="false">E10*(1+H10)</f>
        <v>908.8695</v>
      </c>
      <c r="J10" s="10" t="n">
        <f aca="false">IF(I10&lt;1000,CEILING(I10,10)-1,CEILING(I10,50)-1)</f>
        <v>909</v>
      </c>
      <c r="K10" s="9" t="n">
        <f aca="false">J10-E10</f>
        <v>358.17</v>
      </c>
      <c r="L10" s="8" t="n">
        <f aca="false">IF(J10=0,"",K10/J10)</f>
        <v>0.394026402640264</v>
      </c>
    </row>
    <row r="11" customFormat="false" ht="15" hidden="false" customHeight="false" outlineLevel="0" collapsed="false">
      <c r="A11" s="4" t="n">
        <v>7</v>
      </c>
      <c r="B11" s="4" t="s">
        <v>27</v>
      </c>
      <c r="C11" s="4" t="s">
        <v>28</v>
      </c>
      <c r="D11" s="4" t="s">
        <v>29</v>
      </c>
      <c r="E11" s="5" t="n">
        <v>950.19</v>
      </c>
      <c r="F11" s="6" t="n">
        <f aca="false">INDEX(Reglas!$C$5:$C$8,MATCH(E11,Reglas!$A$5:$A$8,1))</f>
        <v>0.55</v>
      </c>
      <c r="G11" s="7"/>
      <c r="H11" s="8" t="n">
        <f aca="false">IF(G11="",F11,G11)</f>
        <v>0.55</v>
      </c>
      <c r="I11" s="9" t="n">
        <f aca="false">E11*(1+H11)</f>
        <v>1472.7945</v>
      </c>
      <c r="J11" s="10" t="n">
        <f aca="false">IF(I11&lt;1000,CEILING(I11,10)-1,CEILING(I11,50)-1)</f>
        <v>1499</v>
      </c>
      <c r="K11" s="9" t="n">
        <f aca="false">J11-E11</f>
        <v>548.81</v>
      </c>
      <c r="L11" s="8" t="n">
        <f aca="false">IF(J11=0,"",K11/J11)</f>
        <v>0.366117411607739</v>
      </c>
    </row>
    <row r="12" customFormat="false" ht="15" hidden="false" customHeight="false" outlineLevel="0" collapsed="false">
      <c r="A12" s="4" t="n">
        <v>8</v>
      </c>
      <c r="B12" s="4" t="s">
        <v>27</v>
      </c>
      <c r="C12" s="4" t="s">
        <v>30</v>
      </c>
      <c r="D12" s="4" t="s">
        <v>31</v>
      </c>
      <c r="E12" s="5" t="n">
        <v>978.67</v>
      </c>
      <c r="F12" s="6" t="n">
        <f aca="false">INDEX(Reglas!$C$5:$C$8,MATCH(E12,Reglas!$A$5:$A$8,1))</f>
        <v>0.55</v>
      </c>
      <c r="G12" s="7"/>
      <c r="H12" s="8" t="n">
        <f aca="false">IF(G12="",F12,G12)</f>
        <v>0.55</v>
      </c>
      <c r="I12" s="9" t="n">
        <f aca="false">E12*(1+H12)</f>
        <v>1516.9385</v>
      </c>
      <c r="J12" s="10" t="n">
        <f aca="false">IF(I12&lt;1000,CEILING(I12,10)-1,CEILING(I12,50)-1)</f>
        <v>1549</v>
      </c>
      <c r="K12" s="9" t="n">
        <f aca="false">J12-E12</f>
        <v>570.33</v>
      </c>
      <c r="L12" s="8" t="n">
        <f aca="false">IF(J12=0,"",K12/J12)</f>
        <v>0.368192382182053</v>
      </c>
    </row>
    <row r="13" customFormat="false" ht="15" hidden="false" customHeight="false" outlineLevel="0" collapsed="false">
      <c r="A13" s="4" t="n">
        <v>9</v>
      </c>
      <c r="B13" s="4" t="s">
        <v>27</v>
      </c>
      <c r="C13" s="4" t="s">
        <v>32</v>
      </c>
      <c r="D13" s="4" t="s">
        <v>33</v>
      </c>
      <c r="E13" s="5" t="n">
        <v>1608.09</v>
      </c>
      <c r="F13" s="6" t="n">
        <f aca="false">INDEX(Reglas!$C$5:$C$8,MATCH(E13,Reglas!$A$5:$A$8,1))</f>
        <v>0.45</v>
      </c>
      <c r="G13" s="7"/>
      <c r="H13" s="8" t="n">
        <f aca="false">IF(G13="",F13,G13)</f>
        <v>0.45</v>
      </c>
      <c r="I13" s="9" t="n">
        <f aca="false">E13*(1+H13)</f>
        <v>2331.7305</v>
      </c>
      <c r="J13" s="10" t="n">
        <f aca="false">IF(I13&lt;1000,CEILING(I13,10)-1,CEILING(I13,50)-1)</f>
        <v>2349</v>
      </c>
      <c r="K13" s="9" t="n">
        <f aca="false">J13-E13</f>
        <v>740.91</v>
      </c>
      <c r="L13" s="8" t="n">
        <f aca="false">IF(J13=0,"",K13/J13)</f>
        <v>0.315415070242656</v>
      </c>
    </row>
    <row r="14" customFormat="false" ht="15" hidden="false" customHeight="false" outlineLevel="0" collapsed="false">
      <c r="A14" s="4" t="n">
        <v>10</v>
      </c>
      <c r="B14" s="4" t="s">
        <v>27</v>
      </c>
      <c r="C14" s="4" t="s">
        <v>34</v>
      </c>
      <c r="D14" s="4" t="s">
        <v>35</v>
      </c>
      <c r="E14" s="5" t="n">
        <v>1645.59</v>
      </c>
      <c r="F14" s="6" t="n">
        <f aca="false">INDEX(Reglas!$C$5:$C$8,MATCH(E14,Reglas!$A$5:$A$8,1))</f>
        <v>0.45</v>
      </c>
      <c r="G14" s="7"/>
      <c r="H14" s="8" t="n">
        <f aca="false">IF(G14="",F14,G14)</f>
        <v>0.45</v>
      </c>
      <c r="I14" s="9" t="n">
        <f aca="false">E14*(1+H14)</f>
        <v>2386.1055</v>
      </c>
      <c r="J14" s="10" t="n">
        <f aca="false">IF(I14&lt;1000,CEILING(I14,10)-1,CEILING(I14,50)-1)</f>
        <v>2399</v>
      </c>
      <c r="K14" s="9" t="n">
        <f aca="false">J14-E14</f>
        <v>753.41</v>
      </c>
      <c r="L14" s="8" t="n">
        <f aca="false">IF(J14=0,"",K14/J14)</f>
        <v>0.314051688203418</v>
      </c>
    </row>
    <row r="15" customFormat="false" ht="15" hidden="false" customHeight="false" outlineLevel="0" collapsed="false">
      <c r="A15" s="4" t="n">
        <v>11</v>
      </c>
      <c r="B15" s="4" t="s">
        <v>36</v>
      </c>
      <c r="C15" s="4" t="s">
        <v>37</v>
      </c>
      <c r="D15" s="4" t="s">
        <v>38</v>
      </c>
      <c r="E15" s="5" t="n">
        <v>321.42</v>
      </c>
      <c r="F15" s="6" t="n">
        <f aca="false">INDEX(Reglas!$C$5:$C$8,MATCH(E15,Reglas!$A$5:$A$8,1))</f>
        <v>0.65</v>
      </c>
      <c r="G15" s="7"/>
      <c r="H15" s="8" t="n">
        <f aca="false">IF(G15="",F15,G15)</f>
        <v>0.65</v>
      </c>
      <c r="I15" s="9" t="n">
        <f aca="false">E15*(1+H15)</f>
        <v>530.343</v>
      </c>
      <c r="J15" s="10" t="n">
        <f aca="false">IF(I15&lt;1000,CEILING(I15,10)-1,CEILING(I15,50)-1)</f>
        <v>539</v>
      </c>
      <c r="K15" s="9" t="n">
        <f aca="false">J15-E15</f>
        <v>217.58</v>
      </c>
      <c r="L15" s="8" t="n">
        <f aca="false">IF(J15=0,"",K15/J15)</f>
        <v>0.403673469387755</v>
      </c>
    </row>
    <row r="16" customFormat="false" ht="15" hidden="false" customHeight="false" outlineLevel="0" collapsed="false">
      <c r="A16" s="4" t="n">
        <v>12</v>
      </c>
      <c r="B16" s="4" t="s">
        <v>36</v>
      </c>
      <c r="C16" s="4" t="s">
        <v>39</v>
      </c>
      <c r="D16" s="4" t="s">
        <v>40</v>
      </c>
      <c r="E16" s="5" t="n">
        <v>321.42</v>
      </c>
      <c r="F16" s="6" t="n">
        <f aca="false">INDEX(Reglas!$C$5:$C$8,MATCH(E16,Reglas!$A$5:$A$8,1))</f>
        <v>0.65</v>
      </c>
      <c r="G16" s="7"/>
      <c r="H16" s="8" t="n">
        <f aca="false">IF(G16="",F16,G16)</f>
        <v>0.65</v>
      </c>
      <c r="I16" s="9" t="n">
        <f aca="false">E16*(1+H16)</f>
        <v>530.343</v>
      </c>
      <c r="J16" s="10" t="n">
        <f aca="false">IF(I16&lt;1000,CEILING(I16,10)-1,CEILING(I16,50)-1)</f>
        <v>539</v>
      </c>
      <c r="K16" s="9" t="n">
        <f aca="false">J16-E16</f>
        <v>217.58</v>
      </c>
      <c r="L16" s="8" t="n">
        <f aca="false">IF(J16=0,"",K16/J16)</f>
        <v>0.403673469387755</v>
      </c>
    </row>
    <row r="17" customFormat="false" ht="15" hidden="false" customHeight="false" outlineLevel="0" collapsed="false">
      <c r="A17" s="4" t="n">
        <v>13</v>
      </c>
      <c r="B17" s="4" t="s">
        <v>36</v>
      </c>
      <c r="C17" s="4" t="s">
        <v>41</v>
      </c>
      <c r="D17" s="4" t="s">
        <v>42</v>
      </c>
      <c r="E17" s="5" t="n">
        <v>823.36</v>
      </c>
      <c r="F17" s="6" t="n">
        <f aca="false">INDEX(Reglas!$C$5:$C$8,MATCH(E17,Reglas!$A$5:$A$8,1))</f>
        <v>0.55</v>
      </c>
      <c r="G17" s="7"/>
      <c r="H17" s="8" t="n">
        <f aca="false">IF(G17="",F17,G17)</f>
        <v>0.55</v>
      </c>
      <c r="I17" s="9" t="n">
        <f aca="false">E17*(1+H17)</f>
        <v>1276.208</v>
      </c>
      <c r="J17" s="10" t="n">
        <f aca="false">IF(I17&lt;1000,CEILING(I17,10)-1,CEILING(I17,50)-1)</f>
        <v>1299</v>
      </c>
      <c r="K17" s="9" t="n">
        <f aca="false">J17-E17</f>
        <v>475.64</v>
      </c>
      <c r="L17" s="8" t="n">
        <f aca="false">IF(J17=0,"",K17/J17)</f>
        <v>0.366158583525789</v>
      </c>
    </row>
    <row r="18" customFormat="false" ht="15" hidden="false" customHeight="false" outlineLevel="0" collapsed="false">
      <c r="A18" s="4" t="n">
        <v>14</v>
      </c>
      <c r="B18" s="4" t="s">
        <v>43</v>
      </c>
      <c r="C18" s="4" t="s">
        <v>44</v>
      </c>
      <c r="D18" s="4" t="s">
        <v>45</v>
      </c>
      <c r="E18" s="5" t="n">
        <v>177.68</v>
      </c>
      <c r="F18" s="6" t="n">
        <f aca="false">INDEX(Reglas!$C$5:$C$8,MATCH(E18,Reglas!$A$5:$A$8,1))</f>
        <v>0.8</v>
      </c>
      <c r="G18" s="7"/>
      <c r="H18" s="8" t="n">
        <f aca="false">IF(G18="",F18,G18)</f>
        <v>0.8</v>
      </c>
      <c r="I18" s="9" t="n">
        <f aca="false">E18*(1+H18)</f>
        <v>319.824</v>
      </c>
      <c r="J18" s="10" t="n">
        <f aca="false">IF(I18&lt;1000,CEILING(I18,10)-1,CEILING(I18,50)-1)</f>
        <v>319</v>
      </c>
      <c r="K18" s="9" t="n">
        <f aca="false">J18-E18</f>
        <v>141.32</v>
      </c>
      <c r="L18" s="8" t="n">
        <f aca="false">IF(J18=0,"",K18/J18)</f>
        <v>0.443009404388715</v>
      </c>
    </row>
    <row r="19" customFormat="false" ht="15" hidden="false" customHeight="false" outlineLevel="0" collapsed="false">
      <c r="A19" s="4" t="n">
        <v>15</v>
      </c>
      <c r="B19" s="4" t="s">
        <v>43</v>
      </c>
      <c r="C19" s="4" t="s">
        <v>46</v>
      </c>
      <c r="D19" s="4" t="s">
        <v>47</v>
      </c>
      <c r="E19" s="5" t="n">
        <v>305.32</v>
      </c>
      <c r="F19" s="6" t="n">
        <f aca="false">INDEX(Reglas!$C$5:$C$8,MATCH(E19,Reglas!$A$5:$A$8,1))</f>
        <v>0.65</v>
      </c>
      <c r="G19" s="7"/>
      <c r="H19" s="8" t="n">
        <f aca="false">IF(G19="",F19,G19)</f>
        <v>0.65</v>
      </c>
      <c r="I19" s="9" t="n">
        <f aca="false">E19*(1+H19)</f>
        <v>503.778</v>
      </c>
      <c r="J19" s="10" t="n">
        <f aca="false">IF(I19&lt;1000,CEILING(I19,10)-1,CEILING(I19,50)-1)</f>
        <v>509</v>
      </c>
      <c r="K19" s="9" t="n">
        <f aca="false">J19-E19</f>
        <v>203.68</v>
      </c>
      <c r="L19" s="8" t="n">
        <f aca="false">IF(J19=0,"",K19/J19)</f>
        <v>0.400157170923379</v>
      </c>
    </row>
    <row r="20" customFormat="false" ht="15" hidden="false" customHeight="false" outlineLevel="0" collapsed="false">
      <c r="A20" s="4" t="n">
        <v>16</v>
      </c>
      <c r="B20" s="4" t="s">
        <v>43</v>
      </c>
      <c r="C20" s="4" t="s">
        <v>48</v>
      </c>
      <c r="D20" s="4" t="s">
        <v>49</v>
      </c>
      <c r="E20" s="5" t="n">
        <v>423.82</v>
      </c>
      <c r="F20" s="6" t="n">
        <f aca="false">INDEX(Reglas!$C$5:$C$8,MATCH(E20,Reglas!$A$5:$A$8,1))</f>
        <v>0.65</v>
      </c>
      <c r="G20" s="7"/>
      <c r="H20" s="8" t="n">
        <f aca="false">IF(G20="",F20,G20)</f>
        <v>0.65</v>
      </c>
      <c r="I20" s="9" t="n">
        <f aca="false">E20*(1+H20)</f>
        <v>699.303</v>
      </c>
      <c r="J20" s="10" t="n">
        <f aca="false">IF(I20&lt;1000,CEILING(I20,10)-1,CEILING(I20,50)-1)</f>
        <v>699</v>
      </c>
      <c r="K20" s="9" t="n">
        <f aca="false">J20-E20</f>
        <v>275.18</v>
      </c>
      <c r="L20" s="8" t="n">
        <f aca="false">IF(J20=0,"",K20/J20)</f>
        <v>0.393676680972818</v>
      </c>
    </row>
    <row r="21" customFormat="false" ht="15" hidden="false" customHeight="false" outlineLevel="0" collapsed="false">
      <c r="A21" s="4" t="n">
        <v>17</v>
      </c>
      <c r="B21" s="4" t="s">
        <v>50</v>
      </c>
      <c r="C21" s="4" t="s">
        <v>51</v>
      </c>
      <c r="D21" s="4" t="s">
        <v>52</v>
      </c>
      <c r="E21" s="5" t="n">
        <v>436.23</v>
      </c>
      <c r="F21" s="6" t="n">
        <f aca="false">INDEX(Reglas!$C$5:$C$8,MATCH(E21,Reglas!$A$5:$A$8,1))</f>
        <v>0.65</v>
      </c>
      <c r="G21" s="7"/>
      <c r="H21" s="8" t="n">
        <f aca="false">IF(G21="",F21,G21)</f>
        <v>0.65</v>
      </c>
      <c r="I21" s="9" t="n">
        <f aca="false">E21*(1+H21)</f>
        <v>719.7795</v>
      </c>
      <c r="J21" s="10" t="n">
        <f aca="false">IF(I21&lt;1000,CEILING(I21,10)-1,CEILING(I21,50)-1)</f>
        <v>719</v>
      </c>
      <c r="K21" s="9" t="n">
        <f aca="false">J21-E21</f>
        <v>282.77</v>
      </c>
      <c r="L21" s="8" t="n">
        <f aca="false">IF(J21=0,"",K21/J21)</f>
        <v>0.393282336578581</v>
      </c>
    </row>
    <row r="22" customFormat="false" ht="15" hidden="false" customHeight="false" outlineLevel="0" collapsed="false">
      <c r="A22" s="4" t="n">
        <v>18</v>
      </c>
      <c r="B22" s="4" t="s">
        <v>50</v>
      </c>
      <c r="C22" s="4" t="s">
        <v>53</v>
      </c>
      <c r="D22" s="4" t="s">
        <v>54</v>
      </c>
      <c r="E22" s="5" t="n">
        <v>509.54</v>
      </c>
      <c r="F22" s="6" t="n">
        <f aca="false">INDEX(Reglas!$C$5:$C$8,MATCH(E22,Reglas!$A$5:$A$8,1))</f>
        <v>0.65</v>
      </c>
      <c r="G22" s="7"/>
      <c r="H22" s="8" t="n">
        <f aca="false">IF(G22="",F22,G22)</f>
        <v>0.65</v>
      </c>
      <c r="I22" s="9" t="n">
        <f aca="false">E22*(1+H22)</f>
        <v>840.741</v>
      </c>
      <c r="J22" s="10" t="n">
        <f aca="false">IF(I22&lt;1000,CEILING(I22,10)-1,CEILING(I22,50)-1)</f>
        <v>849</v>
      </c>
      <c r="K22" s="9" t="n">
        <f aca="false">J22-E22</f>
        <v>339.46</v>
      </c>
      <c r="L22" s="8" t="n">
        <f aca="false">IF(J22=0,"",K22/J22)</f>
        <v>0.399835100117786</v>
      </c>
    </row>
    <row r="23" customFormat="false" ht="15" hidden="false" customHeight="false" outlineLevel="0" collapsed="false">
      <c r="A23" s="4" t="n">
        <v>19</v>
      </c>
      <c r="B23" s="4" t="s">
        <v>55</v>
      </c>
      <c r="C23" s="4" t="s">
        <v>56</v>
      </c>
      <c r="D23" s="4" t="s">
        <v>57</v>
      </c>
      <c r="E23" s="5" t="n">
        <v>145.06</v>
      </c>
      <c r="F23" s="6" t="n">
        <f aca="false">INDEX(Reglas!$C$5:$C$8,MATCH(E23,Reglas!$A$5:$A$8,1))</f>
        <v>0.8</v>
      </c>
      <c r="G23" s="7"/>
      <c r="H23" s="8" t="n">
        <f aca="false">IF(G23="",F23,G23)</f>
        <v>0.8</v>
      </c>
      <c r="I23" s="9" t="n">
        <f aca="false">E23*(1+H23)</f>
        <v>261.108</v>
      </c>
      <c r="J23" s="10" t="n">
        <f aca="false">IF(I23&lt;1000,CEILING(I23,10)-1,CEILING(I23,50)-1)</f>
        <v>269</v>
      </c>
      <c r="K23" s="9" t="n">
        <f aca="false">J23-E23</f>
        <v>123.94</v>
      </c>
      <c r="L23" s="8" t="n">
        <f aca="false">IF(J23=0,"",K23/J23)</f>
        <v>0.460743494423792</v>
      </c>
    </row>
    <row r="24" customFormat="false" ht="15" hidden="false" customHeight="false" outlineLevel="0" collapsed="false">
      <c r="A24" s="4" t="n">
        <v>20</v>
      </c>
      <c r="B24" s="4" t="s">
        <v>55</v>
      </c>
      <c r="C24" s="4" t="s">
        <v>58</v>
      </c>
      <c r="D24" s="4" t="s">
        <v>59</v>
      </c>
      <c r="E24" s="5" t="n">
        <v>157.44</v>
      </c>
      <c r="F24" s="6" t="n">
        <f aca="false">INDEX(Reglas!$C$5:$C$8,MATCH(E24,Reglas!$A$5:$A$8,1))</f>
        <v>0.8</v>
      </c>
      <c r="G24" s="7"/>
      <c r="H24" s="8" t="n">
        <f aca="false">IF(G24="",F24,G24)</f>
        <v>0.8</v>
      </c>
      <c r="I24" s="9" t="n">
        <f aca="false">E24*(1+H24)</f>
        <v>283.392</v>
      </c>
      <c r="J24" s="10" t="n">
        <f aca="false">IF(I24&lt;1000,CEILING(I24,10)-1,CEILING(I24,50)-1)</f>
        <v>289</v>
      </c>
      <c r="K24" s="9" t="n">
        <f aca="false">J24-E24</f>
        <v>131.56</v>
      </c>
      <c r="L24" s="8" t="n">
        <f aca="false">IF(J24=0,"",K24/J24)</f>
        <v>0.45522491349481</v>
      </c>
    </row>
    <row r="25" customFormat="false" ht="15" hidden="false" customHeight="false" outlineLevel="0" collapsed="false">
      <c r="A25" s="4" t="n">
        <v>21</v>
      </c>
      <c r="B25" s="4" t="s">
        <v>55</v>
      </c>
      <c r="C25" s="4" t="s">
        <v>60</v>
      </c>
      <c r="D25" s="4" t="s">
        <v>61</v>
      </c>
      <c r="E25" s="5" t="n">
        <v>327.59</v>
      </c>
      <c r="F25" s="6" t="n">
        <f aca="false">INDEX(Reglas!$C$5:$C$8,MATCH(E25,Reglas!$A$5:$A$8,1))</f>
        <v>0.65</v>
      </c>
      <c r="G25" s="7"/>
      <c r="H25" s="8" t="n">
        <f aca="false">IF(G25="",F25,G25)</f>
        <v>0.65</v>
      </c>
      <c r="I25" s="9" t="n">
        <f aca="false">E25*(1+H25)</f>
        <v>540.5235</v>
      </c>
      <c r="J25" s="10" t="n">
        <f aca="false">IF(I25&lt;1000,CEILING(I25,10)-1,CEILING(I25,50)-1)</f>
        <v>549</v>
      </c>
      <c r="K25" s="9" t="n">
        <f aca="false">J25-E25</f>
        <v>221.41</v>
      </c>
      <c r="L25" s="8" t="n">
        <f aca="false">IF(J25=0,"",K25/J25)</f>
        <v>0.403296903460838</v>
      </c>
    </row>
    <row r="26" customFormat="false" ht="15" hidden="false" customHeight="false" outlineLevel="0" collapsed="false">
      <c r="A26" s="4" t="n">
        <v>22</v>
      </c>
      <c r="B26" s="4" t="s">
        <v>55</v>
      </c>
      <c r="C26" s="4" t="s">
        <v>62</v>
      </c>
      <c r="D26" s="4" t="s">
        <v>63</v>
      </c>
      <c r="E26" s="5" t="n">
        <v>416.39</v>
      </c>
      <c r="F26" s="6" t="n">
        <f aca="false">INDEX(Reglas!$C$5:$C$8,MATCH(E26,Reglas!$A$5:$A$8,1))</f>
        <v>0.65</v>
      </c>
      <c r="G26" s="7"/>
      <c r="H26" s="8" t="n">
        <f aca="false">IF(G26="",F26,G26)</f>
        <v>0.65</v>
      </c>
      <c r="I26" s="9" t="n">
        <f aca="false">E26*(1+H26)</f>
        <v>687.0435</v>
      </c>
      <c r="J26" s="10" t="n">
        <f aca="false">IF(I26&lt;1000,CEILING(I26,10)-1,CEILING(I26,50)-1)</f>
        <v>689</v>
      </c>
      <c r="K26" s="9" t="n">
        <f aca="false">J26-E26</f>
        <v>272.61</v>
      </c>
      <c r="L26" s="8" t="n">
        <f aca="false">IF(J26=0,"",K26/J26)</f>
        <v>0.395660377358491</v>
      </c>
    </row>
    <row r="27" customFormat="false" ht="15" hidden="false" customHeight="false" outlineLevel="0" collapsed="false">
      <c r="A27" s="4" t="n">
        <v>23</v>
      </c>
      <c r="B27" s="4" t="s">
        <v>55</v>
      </c>
      <c r="C27" s="4" t="s">
        <v>64</v>
      </c>
      <c r="D27" s="4" t="s">
        <v>65</v>
      </c>
      <c r="E27" s="5" t="n">
        <v>496.84</v>
      </c>
      <c r="F27" s="6" t="n">
        <f aca="false">INDEX(Reglas!$C$5:$C$8,MATCH(E27,Reglas!$A$5:$A$8,1))</f>
        <v>0.65</v>
      </c>
      <c r="G27" s="7"/>
      <c r="H27" s="8" t="n">
        <f aca="false">IF(G27="",F27,G27)</f>
        <v>0.65</v>
      </c>
      <c r="I27" s="9" t="n">
        <f aca="false">E27*(1+H27)</f>
        <v>819.786</v>
      </c>
      <c r="J27" s="10" t="n">
        <f aca="false">IF(I27&lt;1000,CEILING(I27,10)-1,CEILING(I27,50)-1)</f>
        <v>819</v>
      </c>
      <c r="K27" s="9" t="n">
        <f aca="false">J27-E27</f>
        <v>322.16</v>
      </c>
      <c r="L27" s="8" t="n">
        <f aca="false">IF(J27=0,"",K27/J27)</f>
        <v>0.393357753357753</v>
      </c>
    </row>
    <row r="28" customFormat="false" ht="15" hidden="false" customHeight="false" outlineLevel="0" collapsed="false">
      <c r="A28" s="4" t="n">
        <v>24</v>
      </c>
      <c r="B28" s="4" t="s">
        <v>55</v>
      </c>
      <c r="C28" s="4" t="s">
        <v>66</v>
      </c>
      <c r="D28" s="4" t="s">
        <v>67</v>
      </c>
      <c r="E28" s="5" t="n">
        <v>1405.86</v>
      </c>
      <c r="F28" s="6" t="n">
        <f aca="false">INDEX(Reglas!$C$5:$C$8,MATCH(E28,Reglas!$A$5:$A$8,1))</f>
        <v>0.45</v>
      </c>
      <c r="G28" s="7"/>
      <c r="H28" s="8" t="n">
        <f aca="false">IF(G28="",F28,G28)</f>
        <v>0.45</v>
      </c>
      <c r="I28" s="9" t="n">
        <f aca="false">E28*(1+H28)</f>
        <v>2038.497</v>
      </c>
      <c r="J28" s="10" t="n">
        <f aca="false">IF(I28&lt;1000,CEILING(I28,10)-1,CEILING(I28,50)-1)</f>
        <v>2049</v>
      </c>
      <c r="K28" s="9" t="n">
        <f aca="false">J28-E28</f>
        <v>643.14</v>
      </c>
      <c r="L28" s="8" t="n">
        <f aca="false">IF(J28=0,"",K28/J28)</f>
        <v>0.313879941434846</v>
      </c>
    </row>
    <row r="29" customFormat="false" ht="15" hidden="false" customHeight="false" outlineLevel="0" collapsed="false">
      <c r="A29" s="11"/>
      <c r="B29" s="11"/>
      <c r="C29" s="11"/>
      <c r="D29" s="12" t="s">
        <v>68</v>
      </c>
      <c r="E29" s="13" t="n">
        <f aca="false">SUM(E5:E28)</f>
        <v>14077.98</v>
      </c>
      <c r="F29" s="11"/>
      <c r="G29" s="11"/>
      <c r="H29" s="11"/>
      <c r="I29" s="11"/>
      <c r="J29" s="14" t="n">
        <f aca="false">SUM(J5:J28)</f>
        <v>22286</v>
      </c>
      <c r="K29" s="13" t="n">
        <f aca="false">SUM(K5:K28)</f>
        <v>8208.02</v>
      </c>
      <c r="L29" s="15" t="n">
        <f aca="false">IF(J29=0,"",K29/J29)</f>
        <v>0.36830386789913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16" t="s">
        <v>70</v>
      </c>
    </row>
    <row r="4" customFormat="false" ht="15" hidden="false" customHeight="false" outlineLevel="0" collapsed="false">
      <c r="A4" s="17" t="s">
        <v>71</v>
      </c>
      <c r="B4" s="17" t="s">
        <v>72</v>
      </c>
      <c r="C4" s="17" t="s">
        <v>73</v>
      </c>
    </row>
    <row r="5" customFormat="false" ht="15" hidden="false" customHeight="false" outlineLevel="0" collapsed="false">
      <c r="A5" s="18" t="n">
        <v>0</v>
      </c>
      <c r="B5" s="19" t="s">
        <v>74</v>
      </c>
      <c r="C5" s="20" t="n">
        <v>0.8</v>
      </c>
    </row>
    <row r="6" customFormat="false" ht="15" hidden="false" customHeight="false" outlineLevel="0" collapsed="false">
      <c r="A6" s="18" t="n">
        <v>300</v>
      </c>
      <c r="B6" s="19" t="s">
        <v>75</v>
      </c>
      <c r="C6" s="20" t="n">
        <v>0.65</v>
      </c>
    </row>
    <row r="7" customFormat="false" ht="15" hidden="false" customHeight="false" outlineLevel="0" collapsed="false">
      <c r="A7" s="18" t="n">
        <v>700</v>
      </c>
      <c r="B7" s="19" t="s">
        <v>76</v>
      </c>
      <c r="C7" s="20" t="n">
        <v>0.55</v>
      </c>
    </row>
    <row r="8" customFormat="false" ht="15" hidden="false" customHeight="false" outlineLevel="0" collapsed="false">
      <c r="A8" s="18" t="n">
        <v>1200</v>
      </c>
      <c r="B8" s="19" t="s">
        <v>77</v>
      </c>
      <c r="C8" s="20" t="n">
        <v>0.45</v>
      </c>
    </row>
    <row r="10" customFormat="false" ht="15" hidden="false" customHeight="false" outlineLevel="0" collapsed="false">
      <c r="A10" s="21" t="s">
        <v>78</v>
      </c>
    </row>
    <row r="11" customFormat="false" ht="15" hidden="false" customHeight="false" outlineLevel="0" collapsed="false">
      <c r="A11" s="21" t="s">
        <v>79</v>
      </c>
    </row>
    <row r="12" customFormat="false" ht="15" hidden="false" customHeight="false" outlineLevel="0" collapsed="false">
      <c r="A12" s="21" t="s">
        <v>80</v>
      </c>
    </row>
    <row r="13" customFormat="false" ht="15" hidden="false" customHeight="false" outlineLevel="0" collapsed="false">
      <c r="A13" s="21" t="s">
        <v>81</v>
      </c>
    </row>
    <row r="14" customFormat="false" ht="15" hidden="false" customHeight="false" outlineLevel="0" collapsed="false">
      <c r="A14" s="21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2"/>
  </cols>
  <sheetData>
    <row r="1" customFormat="false" ht="17.35" hidden="false" customHeight="false" outlineLevel="0" collapsed="false">
      <c r="A1" s="1" t="s">
        <v>83</v>
      </c>
    </row>
    <row r="3" customFormat="false" ht="15" hidden="false" customHeight="false" outlineLevel="0" collapsed="false">
      <c r="A3" s="17" t="s">
        <v>84</v>
      </c>
      <c r="B3" s="17" t="s">
        <v>85</v>
      </c>
      <c r="C3" s="17" t="s">
        <v>86</v>
      </c>
    </row>
    <row r="4" customFormat="false" ht="15" hidden="false" customHeight="false" outlineLevel="0" collapsed="false">
      <c r="A4" s="19" t="s">
        <v>87</v>
      </c>
      <c r="B4" s="22"/>
      <c r="C4" s="19" t="s">
        <v>88</v>
      </c>
    </row>
    <row r="5" customFormat="false" ht="15" hidden="false" customHeight="false" outlineLevel="0" collapsed="false">
      <c r="A5" s="19" t="s">
        <v>89</v>
      </c>
      <c r="B5" s="22" t="n">
        <v>239.56</v>
      </c>
      <c r="C5" s="19" t="s">
        <v>90</v>
      </c>
    </row>
    <row r="6" customFormat="false" ht="15" hidden="false" customHeight="false" outlineLevel="0" collapsed="false">
      <c r="A6" s="19" t="s">
        <v>89</v>
      </c>
      <c r="B6" s="22" t="n">
        <v>556.04</v>
      </c>
      <c r="C6" s="19" t="s">
        <v>90</v>
      </c>
    </row>
    <row r="8" customFormat="false" ht="15" hidden="false" customHeight="false" outlineLevel="0" collapsed="false">
      <c r="A8" s="1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2026-10-31T17:40:09Z</dcterms:created>
  <dc:creator>openpyxl</dc:creator>
  <dc:description/>
  <dc:language>en-US</dc:language>
  <cp:lastModifiedBy/>
  <dcterms:modified xsi:type="dcterms:W3CDTF">2026-10-31T17:40:09Z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