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Series" sheetId="2" state="visible" r:id="rId4"/>
    <sheet name="Serie completa 2020-2026" sheetId="3" state="visible" r:id="rId5"/>
    <sheet name="Resumen anual" sheetId="4" state="visible" r:id="rId6"/>
    <sheet name="Por tamaño" sheetId="5" state="visible" r:id="rId7"/>
    <sheet name="Rechazo y costo" sheetId="6" state="visible" r:id="rId8"/>
    <sheet name="Variables" sheetId="7" state="visible" r:id="rId9"/>
    <sheet name="Hipótesis" sheetId="8" state="visible" r:id="rId10"/>
    <sheet name="Datos de imágenes" sheetId="9" state="visible" r:id="rId11"/>
    <sheet name="Estadísticas" sheetId="10" state="visible" r:id="rId12"/>
    <sheet name="SIE variación anual" sheetId="11" state="visible" r:id="rId13"/>
    <sheet name="TIIE" sheetId="12" state="visible" r:id="rId14"/>
    <sheet name="Muestra anterior" sheetId="13" state="visible" r:id="rId15"/>
    <sheet name="Pendientes" sheetId="14" state="visible" r:id="rId16"/>
    <sheet name="Verificación" sheetId="15" state="visible" r:id="rId17"/>
    <sheet name="Fuent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<sst xmlns="http://schemas.openxmlformats.org/spreadsheetml/2006/main" count="1413" uniqueCount="817">
  <si>
    <t xml:space="preserve">Financiamiento a las empresas en México 2020-2026 — base de datos</t>
  </si>
  <si>
    <t xml:space="preserve">Encuesta Trimestral de Evaluación Coyuntural del Mercado Crediticio (Banxico). Versión con datos del SIE, octubre 2026.</t>
  </si>
  <si>
    <t xml:space="preserve">Qué contiene</t>
  </si>
  <si>
    <t xml:space="preserve">Series</t>
  </si>
  <si>
    <t xml:space="preserve">Base trimestral del diseño muestral vigente, I-2020 a III-2026 (III-2026 pendiente de publicación), con TIIE y tasa objetivo.</t>
  </si>
  <si>
    <t xml:space="preserve">Serie completa 2020-2026</t>
  </si>
  <si>
    <t xml:space="preserve">Los 27 trimestres con línea de tendencia; la muestra anterior queda como referencia.</t>
  </si>
  <si>
    <t xml:space="preserve">Resumen anual</t>
  </si>
  <si>
    <t xml:space="preserve">Promedio de los trimestres de cada año, 2020-2026, más el dato del IV trimestre para mostrar que no es acumulado; incluye TIIE.</t>
  </si>
  <si>
    <t xml:space="preserve">Por tamaño</t>
  </si>
  <si>
    <t xml:space="preserve">Cuadro A gran empresa, Cuadro B pequeñas y medianas, Cuadro C brecha por año, Cuadro D II trimestre de cada año. Con gráficas.</t>
  </si>
  <si>
    <t xml:space="preserve">Rechazo y costo</t>
  </si>
  <si>
    <t xml:space="preserve">Tasa de rechazo e índice de costo, trimestral y anual, y pymes vs grandes en el II trimestre de cada año.</t>
  </si>
  <si>
    <t xml:space="preserve">Variables</t>
  </si>
  <si>
    <t xml:space="preserve">Qué mide cada variable, en qué unidad está y si es acumulada.</t>
  </si>
  <si>
    <t xml:space="preserve">Hipótesis</t>
  </si>
  <si>
    <t xml:space="preserve">Hipótesis 2020-2026 y lo que dicen los datos.</t>
  </si>
  <si>
    <t xml:space="preserve">Datos de imágenes</t>
  </si>
  <si>
    <t xml:space="preserve">Base de datos detrás de cada gráfica de los documentos Word, con su fuente.</t>
  </si>
  <si>
    <t xml:space="preserve">Estadísticas</t>
  </si>
  <si>
    <t xml:space="preserve">Promedio, desviación, tendencia, correlación con la tasa y la TIIE, fases de política monetaria.</t>
  </si>
  <si>
    <t xml:space="preserve">SIE variación anual / TIIE</t>
  </si>
  <si>
    <t xml:space="preserve">Datos crudos descargados del SIE de Banxico (14-oct-2026).</t>
  </si>
  <si>
    <t xml:space="preserve">Muestra anterior</t>
  </si>
  <si>
    <t xml:space="preserve">Comparación de la muestra anterior (≥450 empresas) con el diseño vigente.</t>
  </si>
  <si>
    <t xml:space="preserve">Pendientes</t>
  </si>
  <si>
    <t xml:space="preserve">Datos que faltan, por qué y dónde descargarlos.</t>
  </si>
  <si>
    <t xml:space="preserve">Verificación / Fuentes</t>
  </si>
  <si>
    <t xml:space="preserve">Control de cifras y fuentes usadas.</t>
  </si>
  <si>
    <t xml:space="preserve">Cómo leer los colores</t>
  </si>
  <si>
    <t xml:space="preserve">Azul</t>
  </si>
  <si>
    <t xml:space="preserve">Dato publicado (comunicado de Banxico, SIE o nota citada).</t>
  </si>
  <si>
    <t xml:space="preserve">Morado</t>
  </si>
  <si>
    <t xml:space="preserve">Nivel calculado: dato publicado del mismo trimestre de otro año × (1 + variación anual del SIE). Es una fórmula; se comprobó contra 643 datos publicados.</t>
  </si>
  <si>
    <t xml:space="preserve">Negro</t>
  </si>
  <si>
    <t xml:space="preserve">Fórmula calculada en el libro.</t>
  </si>
  <si>
    <t xml:space="preserve">Verde</t>
  </si>
  <si>
    <t xml:space="preserve">Vínculo a otra hoja del libro.</t>
  </si>
  <si>
    <t xml:space="preserve">Amarillo</t>
  </si>
  <si>
    <t xml:space="preserve">Celda pendiente: el dato aún no se publica (III-2026).</t>
  </si>
  <si>
    <t xml:space="preserve">Unidades</t>
  </si>
  <si>
    <t xml:space="preserve">Porcentajes</t>
  </si>
  <si>
    <t xml:space="preserve">Casi todas las variables son % de empresas que respondieron la encuesta en ese trimestre (no son montos de crédito).</t>
  </si>
  <si>
    <t xml:space="preserve">Índices de difusión</t>
  </si>
  <si>
    <t xml:space="preserve">Escala 0-100. Arriba de 50 = las empresas ven condiciones mejores (más baratas) que el trimestre anterior; abajo de 50 = peores.</t>
  </si>
  <si>
    <t xml:space="preserve">pp</t>
  </si>
  <si>
    <t xml:space="preserve">Puntos porcentuales: diferencia entre dos porcentajes.</t>
  </si>
  <si>
    <t xml:space="preserve">¿Acumulado?</t>
  </si>
  <si>
    <t xml:space="preserve">No. Cada trimestre mide solo lo que pasó en ese trimestre. El IV trimestre no es el acumulado del año; el dato anual es el promedio de los trimestres.</t>
  </si>
  <si>
    <t xml:space="preserve">Encuesta Trimestral de Evaluación Coyuntural del Mercado Crediticio (Banxico) — diseño muestral vigente, I-2020 a III-2026</t>
  </si>
  <si>
    <t xml:space="preserve">% de empresas, salvo tasas (%) e índices de difusión (0-100). Datos del trimestre, no acumulados. Azul = publicado; morado = calculado con la variación anual del SIE; amarillo = pendiente (III-2026 se publica el 19-nov-2026).</t>
  </si>
  <si>
    <t xml:space="preserve">Trimestre</t>
  </si>
  <si>
    <t xml:space="preserve">Año</t>
  </si>
  <si>
    <t xml:space="preserve">Trim.</t>
  </si>
  <si>
    <t xml:space="preserve">Fase de política</t>
  </si>
  <si>
    <t xml:space="preserve">Índice</t>
  </si>
  <si>
    <t xml:space="preserve">Tasa objetivo Banxico fin de trimestre (%)</t>
  </si>
  <si>
    <t xml:space="preserve">TIIE 28 días, último día hábil del trimestre (%)</t>
  </si>
  <si>
    <t xml:space="preserve">TIIE 28 días, promedio del trimestre (%)</t>
  </si>
  <si>
    <t xml:space="preserve">TIIE de fondeo, promedio del trimestre (%)</t>
  </si>
  <si>
    <t xml:space="preserve">Usaron nuevo crédito bancario</t>
  </si>
  <si>
    <t xml:space="preserve">Promedio móvil 4T nuevo crédito</t>
  </si>
  <si>
    <t xml:space="preserve">No solicitaron crédito</t>
  </si>
  <si>
    <t xml:space="preserve">Con crédito bancario al inicio — total</t>
  </si>
  <si>
    <t xml:space="preserve">Con crédito — hasta 100 empl.</t>
  </si>
  <si>
    <t xml:space="preserve">Con crédito — más de 100 empl.</t>
  </si>
  <si>
    <t xml:space="preserve">Brecha con crédito por tamaño (pp)</t>
  </si>
  <si>
    <t xml:space="preserve">Nuevo crédito — hasta 100 empl.</t>
  </si>
  <si>
    <t xml:space="preserve">Nuevo crédito — más de 100 empl.</t>
  </si>
  <si>
    <t xml:space="preserve">Brecha nuevo crédito por tamaño (pp)</t>
  </si>
  <si>
    <t xml:space="preserve">Condiciones: ninguna limitante</t>
  </si>
  <si>
    <t xml:space="preserve">Limitante menor</t>
  </si>
  <si>
    <t xml:space="preserve">Limitante mayor</t>
  </si>
  <si>
    <t xml:space="preserve">Fuente: proveedores</t>
  </si>
  <si>
    <t xml:space="preserve">Fuente: banca comercial</t>
  </si>
  <si>
    <t xml:space="preserve">Banca comercial — hasta 100 empl.</t>
  </si>
  <si>
    <t xml:space="preserve">Banca comercial — más de 100 empl.</t>
  </si>
  <si>
    <t xml:space="preserve">Fuente: grupo corporativo</t>
  </si>
  <si>
    <t xml:space="preserve">Solicitaron, en proceso</t>
  </si>
  <si>
    <t xml:space="preserve">Solicitaron y rechazado</t>
  </si>
  <si>
    <t xml:space="preserve">Rechazado — hasta 100 empl.</t>
  </si>
  <si>
    <t xml:space="preserve">Rechazado — más de 100 empl.</t>
  </si>
  <si>
    <t xml:space="preserve">Rechazaron por caro</t>
  </si>
  <si>
    <t xml:space="preserve">Tasa de rechazo (rechazado / (rechazado + nuevo))</t>
  </si>
  <si>
    <t xml:space="preserve">Tasa de rechazo — hasta 100 empl.</t>
  </si>
  <si>
    <t xml:space="preserve">Tasa de rechazo — más de 100 empl.</t>
  </si>
  <si>
    <t xml:space="preserve">ID costo: tasas de interés</t>
  </si>
  <si>
    <t xml:space="preserve">ID tasas — hasta 100 empl.</t>
  </si>
  <si>
    <t xml:space="preserve">ID tasas — más de 100 empl.</t>
  </si>
  <si>
    <t xml:space="preserve">ID costo: comisiones</t>
  </si>
  <si>
    <t xml:space="preserve">Destino del crédito nuevo: comercio exterior — total (% de quienes usaron)</t>
  </si>
  <si>
    <t xml:space="preserve">Destino comercio exterior — hasta 100 empl.</t>
  </si>
  <si>
    <t xml:space="preserve">Destino comercio exterior — más de 100 empl.</t>
  </si>
  <si>
    <t xml:space="preserve">Esperan pedir crédito bancario próx. trimestre</t>
  </si>
  <si>
    <t xml:space="preserve">Problema más apremiante: ventas</t>
  </si>
  <si>
    <t xml:space="preserve">Problema: acceso al financiamiento</t>
  </si>
  <si>
    <t xml:space="preserve">Limitante: tasas de interés (% de quienes no usaron)</t>
  </si>
  <si>
    <t xml:space="preserve">Limitante: situación económica general (% de quienes no usaron)</t>
  </si>
  <si>
    <t xml:space="preserve">Empresas que respondieron</t>
  </si>
  <si>
    <t xml:space="preserve">Nota del renglón</t>
  </si>
  <si>
    <t xml:space="preserve">I-20</t>
  </si>
  <si>
    <t xml:space="preserve">2020</t>
  </si>
  <si>
    <t xml:space="preserve">0 Recortes 2020</t>
  </si>
  <si>
    <t xml:space="preserve">I a III de 2020: diseño vigente según el SIE (niveles calculados con la variación anual). Difieren de la muestra anterior de los comunicados de 2020-2021.</t>
  </si>
  <si>
    <t xml:space="preserve">II-20</t>
  </si>
  <si>
    <t xml:space="preserve">III-20</t>
  </si>
  <si>
    <t xml:space="preserve">IV-20</t>
  </si>
  <si>
    <t xml:space="preserve">1 Pre-alzas</t>
  </si>
  <si>
    <t xml:space="preserve">I-21</t>
  </si>
  <si>
    <t xml:space="preserve">2021</t>
  </si>
  <si>
    <t xml:space="preserve">II-21</t>
  </si>
  <si>
    <t xml:space="preserve">2 Alzas</t>
  </si>
  <si>
    <t xml:space="preserve">III-21</t>
  </si>
  <si>
    <t xml:space="preserve">IV-21</t>
  </si>
  <si>
    <t xml:space="preserve">I-22</t>
  </si>
  <si>
    <t xml:space="preserve">2022</t>
  </si>
  <si>
    <t xml:space="preserve">II-22</t>
  </si>
  <si>
    <t xml:space="preserve">III-22</t>
  </si>
  <si>
    <t xml:space="preserve">IV-22</t>
  </si>
  <si>
    <t xml:space="preserve">I-23</t>
  </si>
  <si>
    <t xml:space="preserve">2023</t>
  </si>
  <si>
    <t xml:space="preserve">II-23</t>
  </si>
  <si>
    <t xml:space="preserve">3 Meseta 11.25%</t>
  </si>
  <si>
    <t xml:space="preserve">III-23</t>
  </si>
  <si>
    <t xml:space="preserve">IV-23</t>
  </si>
  <si>
    <t xml:space="preserve">I-24</t>
  </si>
  <si>
    <t xml:space="preserve">2024</t>
  </si>
  <si>
    <t xml:space="preserve">4 Recortes</t>
  </si>
  <si>
    <t xml:space="preserve">Nuevo crédito por tamaño: cobertura de prensa del comunicado I-2024.</t>
  </si>
  <si>
    <t xml:space="preserve">II-24</t>
  </si>
  <si>
    <t xml:space="preserve">III-24</t>
  </si>
  <si>
    <t xml:space="preserve">IV-24</t>
  </si>
  <si>
    <t xml:space="preserve">I-25</t>
  </si>
  <si>
    <t xml:space="preserve">2025</t>
  </si>
  <si>
    <t xml:space="preserve">II-25</t>
  </si>
  <si>
    <t xml:space="preserve">III-25</t>
  </si>
  <si>
    <t xml:space="preserve">IV-25</t>
  </si>
  <si>
    <t xml:space="preserve">I-26</t>
  </si>
  <si>
    <t xml:space="preserve">2026</t>
  </si>
  <si>
    <t xml:space="preserve">Nuevo crédito por tamaño: Yahoo Noticias con datos del comunicado I-2026.</t>
  </si>
  <si>
    <t xml:space="preserve">II-26</t>
  </si>
  <si>
    <t xml:space="preserve">Valores por tamaño de los cuadros 1-3 del comunicado II-2026 (20-ago-2026).</t>
  </si>
  <si>
    <t xml:space="preserve">III-26</t>
  </si>
  <si>
    <t xml:space="preserve">5 Pausa 6.50%</t>
  </si>
  <si>
    <t xml:space="preserve">Encuesta julio-septiembre 2026: Banxico la publica el 19-nov-2026. Ya se conocen la tasa objetivo (6.50%) y la TIIE.</t>
  </si>
  <si>
    <t xml:space="preserve">Morado = nivel calculado: nivel publicado del mismo trimestre de otro año × (1 + variación anual del SIE). Se comprobó contra 643 datos publicados: diferencia máxima 0.004.</t>
  </si>
  <si>
    <t xml:space="preserve">Celdas vacías por tamaño = el SIE se descargó como variación anual y falta un nivel publicado de ese trimestre del año para calcularlas (ver hoja Pendientes).</t>
  </si>
  <si>
    <t xml:space="preserve">Los porcentajes son del trimestre (no acumulados). La tasa de rechazo usa como aprobadas a las empresas que usaron crédito nuevo.</t>
  </si>
  <si>
    <t xml:space="preserve">Fuente: Banxico, SIE y comunicados de la encuesta, diseño vigente, I-2020 a II-2026. Puntos = trimestre; línea azul = promedio móvil de 4 trimestres; punteada = tendencia lineal. Datos: columnas J y K de esta hoja.</t>
  </si>
  <si>
    <t xml:space="preserve">Serie completa 2020-2026: los 27 trimestres, de I-2020 a III-2026</t>
  </si>
  <si>
    <t xml:space="preserve">Diseño vigente del SIE para todos los trimestres. La muestra anterior se deja solo como referencia (columna M). % de empresas del trimestre.</t>
  </si>
  <si>
    <t xml:space="preserve">Muestra</t>
  </si>
  <si>
    <t xml:space="preserve">Tasa objetivo fin de trimestre (%)</t>
  </si>
  <si>
    <t xml:space="preserve">Usaron nuevo crédito bancario (%)</t>
  </si>
  <si>
    <t xml:space="preserve">Con crédito al inicio (%)</t>
  </si>
  <si>
    <t xml:space="preserve">ID tasas de interés (índice)</t>
  </si>
  <si>
    <t xml:space="preserve">Sin limitante (%)</t>
  </si>
  <si>
    <t xml:space="preserve">Nuevo crédito — diseño vigente (para gráfica)</t>
  </si>
  <si>
    <t xml:space="preserve">Nuevo crédito — muestra anterior (referencia)</t>
  </si>
  <si>
    <t xml:space="preserve">Tendencia lineal I-20 a II-26</t>
  </si>
  <si>
    <t xml:space="preserve">Tendencia lineal desde I-23</t>
  </si>
  <si>
    <t xml:space="preserve">Vigente (SIE)</t>
  </si>
  <si>
    <t xml:space="preserve">ID tasas: índice &gt; 50 = crédito más barato que el trimestre anterior; &lt; 50 = más caro.</t>
  </si>
  <si>
    <t xml:space="preserve">Columnas N y O: rectas de mínimos cuadrados sobre el diseño vigente. En todo el periodo la recta es casi plana; desde I-23 la pendiente es negativa.</t>
  </si>
  <si>
    <t xml:space="preserve">Pendiente de la tendencia</t>
  </si>
  <si>
    <t xml:space="preserve">I-20 a II-26</t>
  </si>
  <si>
    <t xml:space="preserve">Desde I-23</t>
  </si>
  <si>
    <t xml:space="preserve">pp por trimestre</t>
  </si>
  <si>
    <t xml:space="preserve">pp por año</t>
  </si>
  <si>
    <t xml:space="preserve">Fuente: Banxico, SIE (diseño vigente, I-2020 a II-2026) y comunicados de la muestra anterior (I-2020 a II-2022, referencia). Punteadas = tendencia lineal (todo el periodo y desde I-23). Datos: columnas L a O de esta hoja.</t>
  </si>
  <si>
    <t xml:space="preserve">Fuente: Banxico, SIE y cuadro 2 de los comunicados, diseño vigente I-2020 a II-2026. Datos: columna J de esta hoja.</t>
  </si>
  <si>
    <t xml:space="preserve">Resumen anual 2020-2026 (promedio simple de los trimestres de cada año)</t>
  </si>
  <si>
    <t xml:space="preserve">Diseño vigente (SIE) para los cuatro trimestres de 2020. 2026 = I y II trimestre (III se publica el 19-nov-2026); tasa objetivo y TIIE de 2026 incluyen III.</t>
  </si>
  <si>
    <t xml:space="preserve">Trimestres</t>
  </si>
  <si>
    <t xml:space="preserve">Trimestres con dato</t>
  </si>
  <si>
    <t xml:space="preserve">Usaron nuevo crédito (promedio)</t>
  </si>
  <si>
    <t xml:space="preserve">Nuevo crédito, solo IV trimestre (no acumulado)</t>
  </si>
  <si>
    <t xml:space="preserve">Con crédito al inicio — total</t>
  </si>
  <si>
    <t xml:space="preserve">Brecha con crédito (pp)</t>
  </si>
  <si>
    <t xml:space="preserve">Brecha nuevo crédito (pp)</t>
  </si>
  <si>
    <t xml:space="preserve">Tasa de rechazo</t>
  </si>
  <si>
    <t xml:space="preserve">TIIE 28 días, promedio (%)</t>
  </si>
  <si>
    <t xml:space="preserve">TIIE de fondeo, promedio (%)</t>
  </si>
  <si>
    <t xml:space="preserve">Etiqueta para gráfica</t>
  </si>
  <si>
    <t xml:space="preserve">I-IV</t>
  </si>
  <si>
    <t xml:space="preserve">I-II (III pendiente)</t>
  </si>
  <si>
    <t xml:space="preserve">2026 (I-II)</t>
  </si>
  <si>
    <t xml:space="preserve">Muestra anterior (referencia)</t>
  </si>
  <si>
    <t xml:space="preserve">n.d.</t>
  </si>
  <si>
    <t xml:space="preserve">n.d. = sin dato. Nuevo crédito por tamaño: promedio de los trimestres con dato (ver hoja Por tamaño).</t>
  </si>
  <si>
    <t xml:space="preserve">¿Acumulado? No: el IV trimestre (columna E) mide solo octubre-diciembre. Por eso el dato anual es el promedio de los trimestres (columna D).</t>
  </si>
  <si>
    <t xml:space="preserve">La muestra anterior (renglón 12) no es comparable en nivel con el diseño vigente; se deja como referencia de lo que decían los comunicados de 2020.</t>
  </si>
  <si>
    <t xml:space="preserve">Fuente: Banxico, SIE y comunicados de la encuesta, diseño vigente I-2020 a II-2026. Promedio simple de trimestres; barra gris = dato del IV trimestre. Datos: columnas D y E de esta hoja.</t>
  </si>
  <si>
    <t xml:space="preserve">Fuente: Banxico, SIE: SF283 (TIIE 28 días), SF331450 (TIIE de fondeo) y anuncios de política monetaria. Datos: columnas R a T de esta hoja.</t>
  </si>
  <si>
    <t xml:space="preserve">Gran empresa vs pequeñas y medianas, 2020-2026</t>
  </si>
  <si>
    <t xml:space="preserve">Banxico divide por número de empleados: 'hasta 100' (11 a 100; pequeñas y parte de las medianas) y 'más de 100' (resto de medianas y grandes). % de empresas de cada tamaño.</t>
  </si>
  <si>
    <t xml:space="preserve">Cuadro A. Gran empresa (más de 100 empleados)</t>
  </si>
  <si>
    <t xml:space="preserve">Cuadro B. Pequeñas y medianas (11 a 100 empleados)</t>
  </si>
  <si>
    <t xml:space="preserve">Usaron nuevo crédito (%)</t>
  </si>
  <si>
    <t xml:space="preserve">Banca comercial como fuente (%)</t>
  </si>
  <si>
    <t xml:space="preserve">Tasa de rechazo (%)</t>
  </si>
  <si>
    <t xml:space="preserve">n.d. = falta el nivel publicado para calcularlo con la variación anual del SIE (ver Pendientes). III-2026: se publica el 19-nov-2026.</t>
  </si>
  <si>
    <t xml:space="preserve">Cuadro C. Resumen anual por tamaño y brecha (promedio de trimestres con dato)</t>
  </si>
  <si>
    <t xml:space="preserve">Con crédito — hasta 100 (%)</t>
  </si>
  <si>
    <t xml:space="preserve">Con crédito — más de 100 (%)</t>
  </si>
  <si>
    <t xml:space="preserve">Nuevo crédito — hasta 100 (%)</t>
  </si>
  <si>
    <t xml:space="preserve">Nuevo crédito — más de 100 (%)</t>
  </si>
  <si>
    <t xml:space="preserve">Trimestres con dato de nuevo crédito por tamaño</t>
  </si>
  <si>
    <t xml:space="preserve">2026 = I y II trimestre. Brecha = más de 100 menos hasta 100. Nuevo crédito por tamaño: falta el III trimestre de cada año (ver Pendientes).</t>
  </si>
  <si>
    <t xml:space="preserve">Cuadro D. II trimestre de cada año, por tamaño (mismo trimestre, comparable año contra año)</t>
  </si>
  <si>
    <t xml:space="preserve">Pymes: crédito nuevo (%)</t>
  </si>
  <si>
    <t xml:space="preserve">Pymes: tasa de rechazo</t>
  </si>
  <si>
    <t xml:space="preserve">Pymes: índice de tasas</t>
  </si>
  <si>
    <t xml:space="preserve">Pymes: banca comercial (%)</t>
  </si>
  <si>
    <t xml:space="preserve">Grandes: crédito nuevo (%)</t>
  </si>
  <si>
    <t xml:space="preserve">Grandes: tasa de rechazo</t>
  </si>
  <si>
    <t xml:space="preserve">Grandes: índice de tasas</t>
  </si>
  <si>
    <t xml:space="preserve">Grandes: banca comercial (%)</t>
  </si>
  <si>
    <t xml:space="preserve">Fuente: Banxico, comunicado II-2026 (cuadros 1 y 2) y SIE (variación anual) para II-2020 a II-2025.</t>
  </si>
  <si>
    <t xml:space="preserve">Fuente: Banxico, SIE y comunicados, diseño vigente I-2020 a II-2026. Punteadas = tendencia lineal de cada tamaño. Datos: hoja Series, columnas N y O.</t>
  </si>
  <si>
    <t xml:space="preserve">Fuente: Banxico, SIE y comunicados; faltan los III trimestres. Datos: hoja Series, columnas Q y R.</t>
  </si>
  <si>
    <t xml:space="preserve">Fuente: Cálculo propio con datos de Banxico (diseño vigente). Datos: Cuadro C de esta hoja (filas 37-43).</t>
  </si>
  <si>
    <t xml:space="preserve">Rechazo y costo percibido del crédito, 2020-2026: total, pymes y grandes</t>
  </si>
  <si>
    <t xml:space="preserve">Tasa de rechazo = rechazadas / (rechazadas + empresas que usaron crédito nuevo). ID tasas: índice de difusión (&lt;50 = más caro). Datos del trimestre, no acumulados.</t>
  </si>
  <si>
    <t xml:space="preserve">Cuadro A. Trimestral</t>
  </si>
  <si>
    <t xml:space="preserve">Solicitaron y rechazado (% de empresas)</t>
  </si>
  <si>
    <t xml:space="preserve">Tasa de rechazo — total</t>
  </si>
  <si>
    <t xml:space="preserve">Tasa de rechazo — hasta 100</t>
  </si>
  <si>
    <t xml:space="preserve">Tasa de rechazo — más de 100</t>
  </si>
  <si>
    <t xml:space="preserve">ID tasas — total</t>
  </si>
  <si>
    <t xml:space="preserve">ID tasas — hasta 100</t>
  </si>
  <si>
    <t xml:space="preserve">ID tasas — más de 100</t>
  </si>
  <si>
    <t xml:space="preserve">ID comisiones — total</t>
  </si>
  <si>
    <t xml:space="preserve">Por tamaño solo están completos los II trimestres (Cuadro C). Los demás requieren el nivel publicado de cada trimestre (ver Pendientes).</t>
  </si>
  <si>
    <t xml:space="preserve">Cuadro B. Anual 2020-2026, total (promedio de trimestres)</t>
  </si>
  <si>
    <t xml:space="preserve">ID tasas</t>
  </si>
  <si>
    <t xml:space="preserve">ID comisiones</t>
  </si>
  <si>
    <t xml:space="preserve">Nota</t>
  </si>
  <si>
    <t xml:space="preserve">I y II trimestre; III se publica el 19-nov-2026</t>
  </si>
  <si>
    <t xml:space="preserve">Cuadro C. II trimestre de cada año: pymes vs grandes</t>
  </si>
  <si>
    <t xml:space="preserve">Rechazo — pymes</t>
  </si>
  <si>
    <t xml:space="preserve">Rechazo — grandes</t>
  </si>
  <si>
    <t xml:space="preserve">Diferencia (pp)</t>
  </si>
  <si>
    <t xml:space="preserve">ID tasas — pymes</t>
  </si>
  <si>
    <t xml:space="preserve">ID tasas — grandes</t>
  </si>
  <si>
    <t xml:space="preserve">Diferencia</t>
  </si>
  <si>
    <t xml:space="preserve">Fuente: Banxico, comunicado II-2026 (cuadro 2) y SIE (variación anual) para II-2020 a II-2025; cálculo propio.</t>
  </si>
  <si>
    <t xml:space="preserve">Fuente: Banxico, SIE y cuadro 2 de los comunicados; cálculo propio. Datos: hoja Series, columna de tasa de rechazo.</t>
  </si>
  <si>
    <t xml:space="preserve">Fuente: Banxico, comunicado II-2026 y SIE; cálculo propio. Datos: Cuadro C de esta hoja.</t>
  </si>
  <si>
    <t xml:space="preserve">Fuente: Banxico, SIE y cuadro 2 de los comunicados, diseño vigente. Datos: columna G del Cuadro A.</t>
  </si>
  <si>
    <t xml:space="preserve">Qué es cada variable, en qué unidad está y si es acumulada</t>
  </si>
  <si>
    <t xml:space="preserve">Fuente de las definiciones: comunicados y nota metodológica de Banxico. Todas las preguntas se refieren al trimestre de referencia.</t>
  </si>
  <si>
    <t xml:space="preserve">Variable</t>
  </si>
  <si>
    <t xml:space="preserve">Qué mide</t>
  </si>
  <si>
    <t xml:space="preserve">Unidad</t>
  </si>
  <si>
    <t xml:space="preserve">¿Acumulada?</t>
  </si>
  <si>
    <t xml:space="preserve">Periodo con dato</t>
  </si>
  <si>
    <t xml:space="preserve">Dónde está en el libro</t>
  </si>
  <si>
    <t xml:space="preserve">Empresas que obtuvieron y usaron crédito bancario nuevo durante el trimestre (flujo).</t>
  </si>
  <si>
    <t xml:space="preserve">% de empresas</t>
  </si>
  <si>
    <t xml:space="preserve">No: solo el trimestre</t>
  </si>
  <si>
    <t xml:space="preserve">Series col. J</t>
  </si>
  <si>
    <t xml:space="preserve">Con crédito bancario al inicio del trimestre</t>
  </si>
  <si>
    <t xml:space="preserve">Empresas que ya tenían crédito bancario vigente al empezar el trimestre (saldo, foto del momento).</t>
  </si>
  <si>
    <t xml:space="preserve">No: es una foto, no una suma</t>
  </si>
  <si>
    <t xml:space="preserve">Series col. M-O</t>
  </si>
  <si>
    <t xml:space="preserve">Hasta 100 / más de 100 empleados</t>
  </si>
  <si>
    <t xml:space="preserve">Corte por tamaño de Banxico. La encuesta cubre empresas de más de 10 empleados; 'hasta 100' = 11 a 100 (pequeñas y parte de las medianas), 'más de 100' = resto de medianas y grandes.</t>
  </si>
  <si>
    <t xml:space="preserve">% de empresas de ese tamaño</t>
  </si>
  <si>
    <t xml:space="preserve">No</t>
  </si>
  <si>
    <t xml:space="preserve">Con crédito: I-20 a II-26; otras: ver Por tamaño</t>
  </si>
  <si>
    <t xml:space="preserve">Brecha por tamaño</t>
  </si>
  <si>
    <t xml:space="preserve">Más de 100 menos hasta 100 empleados.</t>
  </si>
  <si>
    <t xml:space="preserve">Puntos porcentuales (pp)</t>
  </si>
  <si>
    <t xml:space="preserve">Series col. P y S</t>
  </si>
  <si>
    <t xml:space="preserve">Condiciones: ninguna / menor / mayor limitante</t>
  </si>
  <si>
    <t xml:space="preserve">Cómo califican las empresas las condiciones de acceso al crédito bancario.</t>
  </si>
  <si>
    <t xml:space="preserve">% de empresas (suman 100)</t>
  </si>
  <si>
    <t xml:space="preserve">Series col. T-V</t>
  </si>
  <si>
    <t xml:space="preserve">Fuentes de financiamiento</t>
  </si>
  <si>
    <t xml:space="preserve">Empresas que usaron cada fuente (proveedores, banca comercial, grupo corporativo, etc.). Respuesta múltiple: no suman 100.</t>
  </si>
  <si>
    <t xml:space="preserve">Series col. W-AA</t>
  </si>
  <si>
    <t xml:space="preserve">Empresas cuya solicitud de crédito fue rechazada en el trimestre.</t>
  </si>
  <si>
    <t xml:space="preserve">% del total de empresas</t>
  </si>
  <si>
    <t xml:space="preserve">Series col. AC</t>
  </si>
  <si>
    <t xml:space="preserve">Rechazadas / (rechazadas + empresas que usaron crédito nuevo). Cálculo propio.</t>
  </si>
  <si>
    <t xml:space="preserve">% de solicitudes resueltas</t>
  </si>
  <si>
    <t xml:space="preserve">Series col. AG; Rechazo y costo</t>
  </si>
  <si>
    <t xml:space="preserve">Índice de difusión de costo (tasas, comisiones)</t>
  </si>
  <si>
    <t xml:space="preserve">Opinión de quienes usaron crédito nuevo: &gt;50 = más barato que el trimestre previo, &lt;50 = más caro.</t>
  </si>
  <si>
    <t xml:space="preserve">Índice 0-100</t>
  </si>
  <si>
    <t xml:space="preserve">No: compara con el trimestre anterior</t>
  </si>
  <si>
    <t xml:space="preserve">Series col. AJ-AM</t>
  </si>
  <si>
    <t xml:space="preserve">Destino: operaciones de comercio exterior</t>
  </si>
  <si>
    <t xml:space="preserve">De las empresas que usaron crédito nuevo, % que lo destinó a comercio exterior. Es el componente de exportaciones disponible: el SIE no separa exportadoras.</t>
  </si>
  <si>
    <t xml:space="preserve">% de quienes usaron crédito nuevo</t>
  </si>
  <si>
    <t xml:space="preserve">Total: I y II trimestres; por tamaño: II trimestres</t>
  </si>
  <si>
    <t xml:space="preserve">Series col. AN-AP</t>
  </si>
  <si>
    <t xml:space="preserve">Problema más apremiante</t>
  </si>
  <si>
    <t xml:space="preserve">Problema principal que reporta la empresa (ventas, acceso al financiamiento, etc.).</t>
  </si>
  <si>
    <t xml:space="preserve">Series col. AR-AS</t>
  </si>
  <si>
    <t xml:space="preserve">Tasa objetivo Banxico</t>
  </si>
  <si>
    <t xml:space="preserve">Tasa de política monetaria al cierre del trimestre.</t>
  </si>
  <si>
    <t xml:space="preserve">% anual</t>
  </si>
  <si>
    <t xml:space="preserve">No: nivel al cierre</t>
  </si>
  <si>
    <t xml:space="preserve">I-20 a III-26</t>
  </si>
  <si>
    <t xml:space="preserve">Series col. F</t>
  </si>
  <si>
    <t xml:space="preserve">TIIE 28 días</t>
  </si>
  <si>
    <t xml:space="preserve">Tasa de Interés Interbancaria de Equilibrio a 28 días: último día hábil del trimestre (SF43783) y promedio del trimestre (SF283).</t>
  </si>
  <si>
    <t xml:space="preserve">No: nivel</t>
  </si>
  <si>
    <t xml:space="preserve">Series col. G-H; hoja TIIE</t>
  </si>
  <si>
    <t xml:space="preserve">TIIE de fondeo</t>
  </si>
  <si>
    <t xml:space="preserve">Tasa de fondeo a 1 día; desde 2025 es la referencia de los créditos nuevos en pesos (SF331450).</t>
  </si>
  <si>
    <t xml:space="preserve">No: promedio</t>
  </si>
  <si>
    <t xml:space="preserve">Series col. I; hoja TIIE</t>
  </si>
  <si>
    <t xml:space="preserve">Promedio anual</t>
  </si>
  <si>
    <t xml:space="preserve">Promedio simple de los trimestres del año con dato.</t>
  </si>
  <si>
    <t xml:space="preserve">Igual que la variable</t>
  </si>
  <si>
    <t xml:space="preserve">Es un promedio, no una suma</t>
  </si>
  <si>
    <t xml:space="preserve">2020-2026</t>
  </si>
  <si>
    <t xml:space="preserve">¿La información es acumulada? No. Cada comunicado y cada serie del SIE reportan lo que pasó en ese trimestre; el IV trimestre no es el total del año. Para un dato anual se promedian los trimestres (hoja Resumen anual).</t>
  </si>
  <si>
    <t xml:space="preserve">Hipótesis 2020-2026 y resultado preliminar</t>
  </si>
  <si>
    <t xml:space="preserve">Cada hipótesis se prueba con las series de este libro.</t>
  </si>
  <si>
    <t xml:space="preserve">#</t>
  </si>
  <si>
    <t xml:space="preserve">Indicador</t>
  </si>
  <si>
    <t xml:space="preserve">Dato clave (fórmula)</t>
  </si>
  <si>
    <t xml:space="preserve">Resultado preliminar</t>
  </si>
  <si>
    <t xml:space="preserve">H1</t>
  </si>
  <si>
    <t xml:space="preserve">Entre 2020 y 2026 cae el flujo de crédito bancario nuevo a empresas, mientras el saldo (empresas con crédito) se mantiene.</t>
  </si>
  <si>
    <t xml:space="preserve">Usaron nuevo crédito; con crédito al inicio</t>
  </si>
  <si>
    <t xml:space="preserve">Se sostiene desde 2023. En 2020 la caída fue por la pandemia (II-20).</t>
  </si>
  <si>
    <t xml:space="preserve">H2</t>
  </si>
  <si>
    <t xml:space="preserve">La caída se concentra en las empresas de 11 a 100 empleados; las de más de 100 mantienen su acceso y la brecha se abre.</t>
  </si>
  <si>
    <t xml:space="preserve">Brecha por tamaño (con crédito y nuevo crédito)</t>
  </si>
  <si>
    <t xml:space="preserve">Se sostiene.</t>
  </si>
  <si>
    <t xml:space="preserve">H3</t>
  </si>
  <si>
    <t xml:space="preserve">Los recortes de Banxico (2024-2026) no se tradujeron en más crédito nuevo ni en un costo percibido menor.</t>
  </si>
  <si>
    <t xml:space="preserve">Nuevo crédito por fase; ID tasas; TIIE</t>
  </si>
  <si>
    <t xml:space="preserve">Se sostiene en parte: la TIIE bajó casi 5 puntos y el crédito nuevo no subió; el costo percibido mejoró hasta III-25 y volvió a empeorar en 2026.</t>
  </si>
  <si>
    <t xml:space="preserve">H4</t>
  </si>
  <si>
    <t xml:space="preserve">En 2026 los bancos endurecieron la oferta: sube el rechazo y pega más a las pymes.</t>
  </si>
  <si>
    <t xml:space="preserve">Tasa de rechazo, total y por tamaño</t>
  </si>
  <si>
    <t xml:space="preserve">Se sostiene: el aumento del rechazo de 2026 es de las pymes.</t>
  </si>
  <si>
    <t xml:space="preserve">H5</t>
  </si>
  <si>
    <t xml:space="preserve">La restricción principal es de demanda (ventas, situación económica), no de acceso al crédito.</t>
  </si>
  <si>
    <t xml:space="preserve">Problema más apremiante; no solicitaron</t>
  </si>
  <si>
    <t xml:space="preserve">H6</t>
  </si>
  <si>
    <t xml:space="preserve">Las empresas ligadas al comercio exterior usan más el crédito bancario.</t>
  </si>
  <si>
    <t xml:space="preserve">Destino del crédito nuevo: operaciones de comercio exterior</t>
  </si>
  <si>
    <t xml:space="preserve">Parcial: el SIE no separa exportadoras; el uso del crédito para comercio exterior es mínimo y casi solo de grandes.</t>
  </si>
  <si>
    <t xml:space="preserve">Base de datos de las gráficas de los documentos</t>
  </si>
  <si>
    <t xml:space="preserve">Para cada imagen: qué muestra, dónde están sus datos en este libro y la fuente original.</t>
  </si>
  <si>
    <t xml:space="preserve">Figura</t>
  </si>
  <si>
    <t xml:space="preserve">Documento</t>
  </si>
  <si>
    <t xml:space="preserve">Qué muestra</t>
  </si>
  <si>
    <t xml:space="preserve">Datos en</t>
  </si>
  <si>
    <t xml:space="preserve">Fuente original</t>
  </si>
  <si>
    <t xml:space="preserve">SS2 · Figura 1</t>
  </si>
  <si>
    <t xml:space="preserve">Servicio social 2, sección 2</t>
  </si>
  <si>
    <t xml:space="preserve">Fuentes a las que acudieron las empresas que pidieron financiamiento, 2022-2024 (% de solicitantes, respuesta múltiple)</t>
  </si>
  <si>
    <t xml:space="preserve">Esta hoja, tabla ENAFIN (abajo)</t>
  </si>
  <si>
    <t xml:space="preserve">INEGI-CNBV, ENAFIN 2024, reporte de resultados (28-may-2025)</t>
  </si>
  <si>
    <t xml:space="preserve">SS2 · Figura 2 = Banxico · Gráfica 1</t>
  </si>
  <si>
    <t xml:space="preserve">Ambos documentos (crédito nuevo)</t>
  </si>
  <si>
    <t xml:space="preserve">Crédito bancario nuevo 2020-2026 por trimestre y tendencia lineal desde I-23</t>
  </si>
  <si>
    <t xml:space="preserve">Serie completa 2020-2026, col. L-O</t>
  </si>
  <si>
    <t xml:space="preserve">Banxico, SIE y comunicados (diseño vigente; muestra anterior como referencia)</t>
  </si>
  <si>
    <t xml:space="preserve">Banxico · Gráfica 2</t>
  </si>
  <si>
    <t xml:space="preserve">Banxico (crédito nuevo)</t>
  </si>
  <si>
    <t xml:space="preserve">Crédito nuevo por año 2020-2026: promedio de trimestres vs IV trimestre</t>
  </si>
  <si>
    <t xml:space="preserve">Resumen anual, col. D-E</t>
  </si>
  <si>
    <t xml:space="preserve">Banxico, SIE y comunicados</t>
  </si>
  <si>
    <t xml:space="preserve">SS2 · Figura 3 = Banxico · Gráfica 3</t>
  </si>
  <si>
    <t xml:space="preserve">Ambos documentos (brecha)</t>
  </si>
  <si>
    <t xml:space="preserve">Con crédito y crédito nuevo por tamaño: pymes vs grandes, con tendencia</t>
  </si>
  <si>
    <t xml:space="preserve">Series, col. N-O y Q-R</t>
  </si>
  <si>
    <t xml:space="preserve">Banxico · Gráfica 4</t>
  </si>
  <si>
    <t xml:space="preserve">Banxico (brecha)</t>
  </si>
  <si>
    <t xml:space="preserve">Brecha por tamaño por año 2020-2026</t>
  </si>
  <si>
    <t xml:space="preserve">Por tamaño, Cuadro C</t>
  </si>
  <si>
    <t xml:space="preserve">Cálculo propio con datos de Banxico</t>
  </si>
  <si>
    <t xml:space="preserve">Banxico · Gráfica 5</t>
  </si>
  <si>
    <t xml:space="preserve">Banxico (rechazo y costo)</t>
  </si>
  <si>
    <t xml:space="preserve">Tasa de rechazo trimestral e índice de costo 2020-2026</t>
  </si>
  <si>
    <t xml:space="preserve">Rechazo y costo, Cuadro A</t>
  </si>
  <si>
    <t xml:space="preserve">Banxico, SIE y cuadro 2; cálculo propio</t>
  </si>
  <si>
    <t xml:space="preserve">SS2 · Figura 4 = Banxico · Gráfica 6</t>
  </si>
  <si>
    <t xml:space="preserve">Ambos documentos (rechazo por tamaño)</t>
  </si>
  <si>
    <t xml:space="preserve">Tasa de rechazo en el II trimestre de cada año: pymes vs grandes</t>
  </si>
  <si>
    <t xml:space="preserve">Rechazo y costo, Cuadro C</t>
  </si>
  <si>
    <t xml:space="preserve">Banxico, comunicado II-2026 y SIE; cálculo propio</t>
  </si>
  <si>
    <t xml:space="preserve">Banxico · Gráfica 7</t>
  </si>
  <si>
    <t xml:space="preserve">Banxico (tasa y TIIE)</t>
  </si>
  <si>
    <t xml:space="preserve">Tasa objetivo, TIIE 28 días y crédito nuevo por trimestre</t>
  </si>
  <si>
    <t xml:space="preserve">Series, col. F-H y J; hoja TIIE</t>
  </si>
  <si>
    <t xml:space="preserve">Banxico, SIE (SF43783, SF283) y comunicados</t>
  </si>
  <si>
    <t xml:space="preserve">Tabla ENAFIN (SS2 · Figura 1)</t>
  </si>
  <si>
    <t xml:space="preserve">Fuente a la que acudió</t>
  </si>
  <si>
    <t xml:space="preserve">% de empresas solicitantes</t>
  </si>
  <si>
    <t xml:space="preserve">Bancos / banca comercial</t>
  </si>
  <si>
    <t xml:space="preserve">Proveedores</t>
  </si>
  <si>
    <t xml:space="preserve">Familiares o amistades</t>
  </si>
  <si>
    <t xml:space="preserve">Uniones de crédito</t>
  </si>
  <si>
    <t xml:space="preserve">Banca de desarrollo</t>
  </si>
  <si>
    <t xml:space="preserve">Crowdfunding</t>
  </si>
  <si>
    <t xml:space="preserve">Fuente: INEGI-CNBV, Encuesta Nacional de Financiamiento de las Empresas (ENAFIN) 2024, reporte de resultados del 28 de mayo de 2025. Empresas con 6 o más personas ocupadas en localidades de 50 mil habitantes o más. https://www.inegi.org.mx/contenidos/saladeprensa/boletines/2025/enafin/ENAFIN_24_RR.pdf</t>
  </si>
  <si>
    <t xml:space="preserve">Estadísticos del nuevo crédito bancario y relación con la tasa</t>
  </si>
  <si>
    <t xml:space="preserve">Diseño vigente, I-2020 al último trimestre publicado (II-2026).</t>
  </si>
  <si>
    <t xml:space="preserve">Valor</t>
  </si>
  <si>
    <t xml:space="preserve">Promedio I-20 a II-26</t>
  </si>
  <si>
    <t xml:space="preserve">Desviación estándar</t>
  </si>
  <si>
    <t xml:space="preserve">Mínimo</t>
  </si>
  <si>
    <t xml:space="preserve">Trimestre del mínimo</t>
  </si>
  <si>
    <t xml:space="preserve">Lugar de II-26 (1 = más bajo)</t>
  </si>
  <si>
    <t xml:space="preserve">Máximo</t>
  </si>
  <si>
    <t xml:space="preserve">Pendiente desde I-23 (pp por año)</t>
  </si>
  <si>
    <t xml:space="preserve">Correlación nuevo crédito vs tasa objetivo (mismo trimestre)</t>
  </si>
  <si>
    <t xml:space="preserve">Correlación con tasa objetivo rezagada 1 trimestre</t>
  </si>
  <si>
    <t xml:space="preserve">Error de muestreo 95% de un trimestre (pp, muestreo aleatorio simple, n=650, p=promedio)</t>
  </si>
  <si>
    <t xml:space="preserve">Brecha por tamaño máxima (pp)</t>
  </si>
  <si>
    <t xml:space="preserve">Trimestre de la brecha máxima</t>
  </si>
  <si>
    <t xml:space="preserve">Correlación nuevo crédito vs TIIE 28 promedio del trimestre</t>
  </si>
  <si>
    <t xml:space="preserve">Diferencia promedio TIIE 28 (fin de trimestre) − tasa objetivo (pp)</t>
  </si>
  <si>
    <t xml:space="preserve">El error real es mayor: la encuesta usa factores de expansión y estratos (efecto de diseño &gt; 1).</t>
  </si>
  <si>
    <t xml:space="preserve">Fase de política monetaria</t>
  </si>
  <si>
    <t xml:space="preserve">Nuevo crédito promedio</t>
  </si>
  <si>
    <t xml:space="preserve">Tasa promedio fin de trimestre</t>
  </si>
  <si>
    <t xml:space="preserve">Sin limitante promedio</t>
  </si>
  <si>
    <t xml:space="preserve">Periodo</t>
  </si>
  <si>
    <t xml:space="preserve">TIIE 28 promedio</t>
  </si>
  <si>
    <t xml:space="preserve">I-20 a III-20 (pandemia: 7.25% → 4.25%)</t>
  </si>
  <si>
    <t xml:space="preserve">IV-20 a I-21 (tasa 4.00-4.25%)</t>
  </si>
  <si>
    <t xml:space="preserve">II-21 a I-23 (15 alzas, 4.25% → 11.25%)</t>
  </si>
  <si>
    <t xml:space="preserve">II-23 a IV-23</t>
  </si>
  <si>
    <t xml:space="preserve">I-24 a II-26 (11.00% → 6.50%)</t>
  </si>
  <si>
    <t xml:space="preserve">III-26 (encuesta pendiente: 19-nov-2026)</t>
  </si>
  <si>
    <t xml:space="preserve">Correlación positiva no implica causalidad: incluye la caída de la pandemia y la recuperación posterior.</t>
  </si>
  <si>
    <t xml:space="preserve">SIE de Banxico: encuesta de evaluación coyuntural del mercado crediticio, tasa de crecimiento anual (%)</t>
  </si>
  <si>
    <t xml:space="preserve">Datos tal como se descargaron del SIE el 14-oct-2026 (tipo de información: tasa de crecimiento anual). Renglones alineados con la hoja Series. Con estas tasas y un nivel publicado se calculan los niveles en morado de la hoja Series.</t>
  </si>
  <si>
    <t xml:space="preserve">Clave SIE</t>
  </si>
  <si>
    <t xml:space="preserve">SF349907</t>
  </si>
  <si>
    <t xml:space="preserve">SF349925</t>
  </si>
  <si>
    <t xml:space="preserve">SF349906</t>
  </si>
  <si>
    <t xml:space="preserve">SF349965</t>
  </si>
  <si>
    <t xml:space="preserve">SF350024</t>
  </si>
  <si>
    <t xml:space="preserve">SF349966</t>
  </si>
  <si>
    <t xml:space="preserve">SF350025</t>
  </si>
  <si>
    <t xml:space="preserve">SF349938</t>
  </si>
  <si>
    <t xml:space="preserve">SF349937</t>
  </si>
  <si>
    <t xml:space="preserve">SF349936</t>
  </si>
  <si>
    <t xml:space="preserve">SF349891</t>
  </si>
  <si>
    <t xml:space="preserve">SF349892</t>
  </si>
  <si>
    <t xml:space="preserve">SF349951</t>
  </si>
  <si>
    <t xml:space="preserve">SF350010</t>
  </si>
  <si>
    <t xml:space="preserve">SF349894</t>
  </si>
  <si>
    <t xml:space="preserve">SF349922</t>
  </si>
  <si>
    <t xml:space="preserve">SF349923</t>
  </si>
  <si>
    <t xml:space="preserve">SF349982</t>
  </si>
  <si>
    <t xml:space="preserve">SF350041</t>
  </si>
  <si>
    <t xml:space="preserve">SF349924</t>
  </si>
  <si>
    <t xml:space="preserve">SF349919</t>
  </si>
  <si>
    <t xml:space="preserve">SF349978</t>
  </si>
  <si>
    <t xml:space="preserve">SF350037</t>
  </si>
  <si>
    <t xml:space="preserve">SF349920</t>
  </si>
  <si>
    <t xml:space="preserve">SF349910</t>
  </si>
  <si>
    <t xml:space="preserve">SF349969</t>
  </si>
  <si>
    <t xml:space="preserve">SF350028</t>
  </si>
  <si>
    <t xml:space="preserve">SF349905</t>
  </si>
  <si>
    <t xml:space="preserve">SF349939</t>
  </si>
  <si>
    <t xml:space="preserve">SF349941</t>
  </si>
  <si>
    <t xml:space="preserve">SF349933</t>
  </si>
  <si>
    <t xml:space="preserve">SF349926</t>
  </si>
  <si>
    <t xml:space="preserve">N/E</t>
  </si>
  <si>
    <t xml:space="preserve">N/E = no existe (el nivel del año anterior era 0). Fuente: Banxico, SIE, 'Resultados de la encuesta de evaluación coyuntural del mercado crediticio' (series SF349890 a SF350479).</t>
  </si>
  <si>
    <t xml:space="preserve">TIIE a 28 días y TIIE de fondeo, 2020-2026</t>
  </si>
  <si>
    <t xml:space="preserve">Banxico, SIE. Mensual: SF283 (TIIE 28 días, promedio mensual) y SF331450 (TIIE de fondeo a 1 día, promedio mensual). Diario: SF43783 (TIIE 28 días).</t>
  </si>
  <si>
    <t xml:space="preserve">Mes</t>
  </si>
  <si>
    <t xml:space="preserve">TIIE 28 días, promedio mensual (%) · SF283</t>
  </si>
  <si>
    <t xml:space="preserve">TIIE de fondeo, promedio mensual (%) · SF331450</t>
  </si>
  <si>
    <t xml:space="preserve">Último día hábil</t>
  </si>
  <si>
    <t xml:space="preserve">TIIE 28 días ese día (%) · SF43783</t>
  </si>
  <si>
    <t xml:space="preserve">2020-01</t>
  </si>
  <si>
    <t xml:space="preserve">2020-03-31</t>
  </si>
  <si>
    <t xml:space="preserve">2020-02</t>
  </si>
  <si>
    <t xml:space="preserve">2020-06-30</t>
  </si>
  <si>
    <t xml:space="preserve">2020-03</t>
  </si>
  <si>
    <t xml:space="preserve">2020-09-30</t>
  </si>
  <si>
    <t xml:space="preserve">2020-04</t>
  </si>
  <si>
    <t xml:space="preserve">2020-12-31</t>
  </si>
  <si>
    <t xml:space="preserve">2020-05</t>
  </si>
  <si>
    <t xml:space="preserve">2021-03-31</t>
  </si>
  <si>
    <t xml:space="preserve">2020-06</t>
  </si>
  <si>
    <t xml:space="preserve">2021-06-30</t>
  </si>
  <si>
    <t xml:space="preserve">2020-07</t>
  </si>
  <si>
    <t xml:space="preserve">2021-09-30</t>
  </si>
  <si>
    <t xml:space="preserve">2020-08</t>
  </si>
  <si>
    <t xml:space="preserve">2021-12-31</t>
  </si>
  <si>
    <t xml:space="preserve">2020-09</t>
  </si>
  <si>
    <t xml:space="preserve">2022-03-31</t>
  </si>
  <si>
    <t xml:space="preserve">2020-10</t>
  </si>
  <si>
    <t xml:space="preserve">2022-06-30</t>
  </si>
  <si>
    <t xml:space="preserve">2020-11</t>
  </si>
  <si>
    <t xml:space="preserve">2022-09-30</t>
  </si>
  <si>
    <t xml:space="preserve">2020-12</t>
  </si>
  <si>
    <t xml:space="preserve">2022-12-30</t>
  </si>
  <si>
    <t xml:space="preserve">2021-01</t>
  </si>
  <si>
    <t xml:space="preserve">2023-03-31</t>
  </si>
  <si>
    <t xml:space="preserve">2021-02</t>
  </si>
  <si>
    <t xml:space="preserve">2023-06-30</t>
  </si>
  <si>
    <t xml:space="preserve">2021-03</t>
  </si>
  <si>
    <t xml:space="preserve">2023-09-29</t>
  </si>
  <si>
    <t xml:space="preserve">2021-04</t>
  </si>
  <si>
    <t xml:space="preserve">2023-12-29</t>
  </si>
  <si>
    <t xml:space="preserve">2021-05</t>
  </si>
  <si>
    <t xml:space="preserve">2024-03-27</t>
  </si>
  <si>
    <t xml:space="preserve">2021-06</t>
  </si>
  <si>
    <t xml:space="preserve">2024-06-28</t>
  </si>
  <si>
    <t xml:space="preserve">2021-07</t>
  </si>
  <si>
    <t xml:space="preserve">2024-09-30</t>
  </si>
  <si>
    <t xml:space="preserve">2021-08</t>
  </si>
  <si>
    <t xml:space="preserve">2024-12-31</t>
  </si>
  <si>
    <t xml:space="preserve">2021-09</t>
  </si>
  <si>
    <t xml:space="preserve">2025-03-31</t>
  </si>
  <si>
    <t xml:space="preserve">2021-10</t>
  </si>
  <si>
    <t xml:space="preserve">2025-06-30</t>
  </si>
  <si>
    <t xml:space="preserve">2021-11</t>
  </si>
  <si>
    <t xml:space="preserve">2025-09-30</t>
  </si>
  <si>
    <t xml:space="preserve">2021-12</t>
  </si>
  <si>
    <t xml:space="preserve">2025-12-31</t>
  </si>
  <si>
    <t xml:space="preserve">2022-01</t>
  </si>
  <si>
    <t xml:space="preserve">2026-03-31</t>
  </si>
  <si>
    <t xml:space="preserve">2022-02</t>
  </si>
  <si>
    <t xml:space="preserve">2026-06-30</t>
  </si>
  <si>
    <t xml:space="preserve">2022-03</t>
  </si>
  <si>
    <t xml:space="preserve">2026-09-30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</si>
  <si>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</si>
  <si>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</si>
  <si>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</si>
  <si>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</si>
  <si>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</si>
  <si>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</si>
  <si>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</si>
  <si>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</si>
  <si>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</si>
  <si>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</si>
  <si>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</si>
  <si>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</si>
  <si>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</si>
  <si>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</si>
  <si>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</si>
  <si>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</si>
  <si>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</si>
  <si>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</si>
  <si>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</si>
  <si>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</si>
  <si>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</si>
  <si>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</si>
  <si>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</si>
  <si>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</si>
  <si>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</si>
  <si>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</si>
  <si>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</si>
  <si>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</si>
  <si>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</si>
  <si>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</si>
  <si>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</si>
  <si>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</si>
  <si>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</si>
  <si>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</si>
  <si>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</si>
  <si>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</si>
  <si>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</si>
  <si>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</si>
  <si>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</si>
  <si>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</si>
  <si>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</si>
  <si>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</si>
  <si>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</si>
  <si>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</si>
  <si>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</si>
  <si>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</si>
  <si>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</si>
  <si>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</si>
  <si>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</si>
  <si>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</si>
  <si>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</si>
  <si>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</si>
  <si>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</si>
  <si>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</si>
  <si>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Muestra anterior (≥450 empresas) vs diseño vigente (SIE) — trimestres traslapados</t>
  </si>
  <si>
    <t xml:space="preserve">Los comunicados de 2020-2022 usaban la muestra anterior. El SIE ya publica el diseño vigente para todo 2020; la muestra anterior queda como referencia.</t>
  </si>
  <si>
    <t xml:space="preserve">Nuevo crédito — muestra anterior</t>
  </si>
  <si>
    <t xml:space="preserve">Nuevo crédito — diseño vigente</t>
  </si>
  <si>
    <t xml:space="preserve">Con crédito — muestra anterior</t>
  </si>
  <si>
    <t xml:space="preserve">Con crédito — diseño vigente</t>
  </si>
  <si>
    <t xml:space="preserve">ID tasas — muestra anterior</t>
  </si>
  <si>
    <t xml:space="preserve">Sin limitante — muestra anterior</t>
  </si>
  <si>
    <t xml:space="preserve">Promedio dif.</t>
  </si>
  <si>
    <t xml:space="preserve">Rango dif.</t>
  </si>
  <si>
    <t xml:space="preserve">Promedio 2020 (I-IV)</t>
  </si>
  <si>
    <t xml:space="preserve">Fuente: Banxico, comunicados I-2021 y II-2022 (muestra anterior); diseño vigente: hoja Series (SIE).</t>
  </si>
  <si>
    <t xml:space="preserve">Datos pendientes y dónde obtenerlos</t>
  </si>
  <si>
    <t xml:space="preserve">Al capturar estos datos en la hoja Series, todas las tablas y gráficas se actualizan.</t>
  </si>
  <si>
    <t xml:space="preserve">Dato</t>
  </si>
  <si>
    <t xml:space="preserve">Por qué falta</t>
  </si>
  <si>
    <t xml:space="preserve">Dónde obtenerlo</t>
  </si>
  <si>
    <t xml:space="preserve">Cuándo</t>
  </si>
  <si>
    <t xml:space="preserve">Encuesta III-2026 (julio-septiembre)</t>
  </si>
  <si>
    <t xml:space="preserve">Banxico aún no la publica.</t>
  </si>
  <si>
    <t xml:space="preserve">Comunicado 'Evolución trimestral del financiamiento a las empresas', julio-septiembre 2026</t>
  </si>
  <si>
    <t xml:space="preserve">19-nov-2026, 9:00 h</t>
  </si>
  <si>
    <t xml:space="preserve">Por tamaño en trimestres I, III y IV: rechazo, índice de tasas, banca comercial; crédito nuevo por tamaño en los III trimestres</t>
  </si>
  <si>
    <t xml:space="preserve">El cuadro del SIE se descargó como 'tasa de crecimiento anual'; para pasar a niveles hace falta un dato publicado de ese trimestre del año.</t>
  </si>
  <si>
    <t xml:space="preserve">Volver a exportar el cuadro de la encuesta del SIE con tipo de información 'Niveles' (2020-2026), o los comunicados de mayo y noviembre</t>
  </si>
  <si>
    <t xml:space="preserve">Disponible</t>
  </si>
  <si>
    <t xml:space="preserve">Exportadoras / no exportadoras</t>
  </si>
  <si>
    <t xml:space="preserve">El SIE del diseño vigente no tiene ese corte (solo tamaño, actividad y región). Se usa el destino del crédito 'operaciones de comercio exterior'.</t>
  </si>
  <si>
    <t xml:space="preserve">No disponible en el diseño vigente</t>
  </si>
  <si>
    <t xml:space="preserve">—</t>
  </si>
  <si>
    <t xml:space="preserve">Verificación de las cifras y de las correcciones</t>
  </si>
  <si>
    <t xml:space="preserve">Parte 1: cifras del análisis previo. Parte 2: correcciones del asesor (octubre 2026). Parte 3: datos del SIE.</t>
  </si>
  <si>
    <t xml:space="preserve">Afirmación del análisis previo</t>
  </si>
  <si>
    <t xml:space="preserve">Valor citado</t>
  </si>
  <si>
    <t xml:space="preserve">Valor verificado</t>
  </si>
  <si>
    <t xml:space="preserve">Estado</t>
  </si>
  <si>
    <t xml:space="preserve">Comentario</t>
  </si>
  <si>
    <t xml:space="preserve">Nuevo crédito promedio 2021-2026 y desv. est.</t>
  </si>
  <si>
    <t xml:space="preserve">13.9 / 2.1</t>
  </si>
  <si>
    <t xml:space="preserve">Correcto</t>
  </si>
  <si>
    <t xml:space="preserve">Coincide con la serie del diseño vigente.</t>
  </si>
  <si>
    <t xml:space="preserve">11.2% es el 3er valor más bajo (tras 9.0 IV-21 y 11.0 II-21)</t>
  </si>
  <si>
    <t xml:space="preserve">3º</t>
  </si>
  <si>
    <t xml:space="preserve">Brecha máxima por tamaño 19.1 pp en IV-21</t>
  </si>
  <si>
    <t xml:space="preserve">19.1</t>
  </si>
  <si>
    <t xml:space="preserve">54.4% grandes vs 35.3% chicas.</t>
  </si>
  <si>
    <t xml:space="preserve">Resumen anual (nuevo crédito, con crédito por tamaño, sin limitante)</t>
  </si>
  <si>
    <t xml:space="preserve">tabla</t>
  </si>
  <si>
    <t xml:space="preserve">Todos los promedios coinciden (ver hoja Resumen anual).</t>
  </si>
  <si>
    <t xml:space="preserve">Tendencia desde I-23</t>
  </si>
  <si>
    <t xml:space="preserve">-1.0 pp/año</t>
  </si>
  <si>
    <t xml:space="preserve">Grandes con crédito en 2021: 52-54%</t>
  </si>
  <si>
    <t xml:space="preserve">52-54</t>
  </si>
  <si>
    <t xml:space="preserve">48.6-54.4</t>
  </si>
  <si>
    <t xml:space="preserve">Matizar</t>
  </si>
  <si>
    <t xml:space="preserve">II-21 fue 48.6%.</t>
  </si>
  <si>
    <t xml:space="preserve">Fuentes de crédito: proveedores 58-65%</t>
  </si>
  <si>
    <t xml:space="preserve">58-65</t>
  </si>
  <si>
    <t xml:space="preserve">56.4-64.9</t>
  </si>
  <si>
    <t xml:space="preserve">III-25 bajó a 56.4%.</t>
  </si>
  <si>
    <t xml:space="preserve">Banca comercial pasó de 32.3% (IV-23) a 24.5%</t>
  </si>
  <si>
    <t xml:space="preserve">32.3 → 24.5</t>
  </si>
  <si>
    <t xml:space="preserve">24.5% es el nivel más bajo desde III-22.</t>
  </si>
  <si>
    <t xml:space="preserve">Ventas subió de 29.4% (IV-23) a 44.6%</t>
  </si>
  <si>
    <t xml:space="preserve">29.4 → 44.6</t>
  </si>
  <si>
    <t xml:space="preserve">El pico fue 47.8% en II-25; desde ahí está estable en 42-45%.</t>
  </si>
  <si>
    <t xml:space="preserve">Acceso al financiamiento nunca pasa de 2.6%</t>
  </si>
  <si>
    <t xml:space="preserve">≤2.6</t>
  </si>
  <si>
    <t xml:space="preserve">III-22 a II-26.</t>
  </si>
  <si>
    <t xml:space="preserve">Rechazos (orden y valores)</t>
  </si>
  <si>
    <t xml:space="preserve">IV-23 6%, I-24 9%, IV-22 20%, II-26 24%</t>
  </si>
  <si>
    <t xml:space="preserve">Serie completa</t>
  </si>
  <si>
    <t xml:space="preserve">Corregir</t>
  </si>
  <si>
    <t xml:space="preserve">El orden estaba revuelto. Lo relevante: I-26 (22.5%) y II-26 (24.3%) son los dos valores más altos desde III-22; antes oscilaba 3-11%, salvo IV-22 (20.2%).</t>
  </si>
  <si>
    <t xml:space="preserve">Índice de tasas: 'solo tengo estos puntos'</t>
  </si>
  <si>
    <t xml:space="preserve">6 puntos</t>
  </si>
  <si>
    <t xml:space="preserve">Serie III-22 a II-26</t>
  </si>
  <si>
    <t xml:space="preserve">Serie completa: subió hasta 49.0 en III-25 y bajó a 44.9 (I-26) y 39.4 (II-26). El costo percibido empeoró en 2026 pese a los recortes.</t>
  </si>
  <si>
    <t xml:space="preserve">Tabla de fases: 'Alzas II-22 a I-23'</t>
  </si>
  <si>
    <t xml:space="preserve">II-22 a I-23</t>
  </si>
  <si>
    <t xml:space="preserve">II-21 a I-23</t>
  </si>
  <si>
    <t xml:space="preserve">Las alzas empezaron en junio de 2021. Promedios recalculados en hoja Estadísticas.</t>
  </si>
  <si>
    <t xml:space="preserve">Tasas de fin de trimestre 'estimadas'</t>
  </si>
  <si>
    <t xml:space="preserve">estimadas</t>
  </si>
  <si>
    <t xml:space="preserve">reconstruidas de anuncios</t>
  </si>
  <si>
    <t xml:space="preserve">Ver columna E de Series; I-26 = 6.75%, II-26 = 6.50%.</t>
  </si>
  <si>
    <t xml:space="preserve">Correlación nuevo crédito vs tasa</t>
  </si>
  <si>
    <t xml:space="preserve">+0.46</t>
  </si>
  <si>
    <t xml:space="preserve">Con tasa rezagada un trimestre: +0.42. No implica causalidad.</t>
  </si>
  <si>
    <t xml:space="preserve">2020 muestra anterior (I-20 24.2 ... IV-20 16.8; vigente 47.6 ... 43.9)</t>
  </si>
  <si>
    <t xml:space="preserve">Comunicado I-2021.</t>
  </si>
  <si>
    <t xml:space="preserve">Diferencia entre muestras: ~6 pp nuevo crédito (3-9), 4-11 pp vigente</t>
  </si>
  <si>
    <t xml:space="preserve">~6 / 4-11</t>
  </si>
  <si>
    <t xml:space="preserve">5.8 / 4.1-10.9</t>
  </si>
  <si>
    <t xml:space="preserve">Traslape IV-20 a II-22.</t>
  </si>
  <si>
    <t xml:space="preserve">'Para series largas usar solo IV-20 en adelante' vs tabla 2020 con IV-20</t>
  </si>
  <si>
    <t xml:space="preserve">contradicción</t>
  </si>
  <si>
    <t xml:space="preserve">IV-20 existe en ambas</t>
  </si>
  <si>
    <t xml:space="preserve">IV-20 tiene dos valores: 16.8% (muestra anterior) y 13.6% (diseño vigente).</t>
  </si>
  <si>
    <t xml:space="preserve">Esperan pedir crédito bancario: 20.3% (antes 18.7%)</t>
  </si>
  <si>
    <t xml:space="preserve">20.3</t>
  </si>
  <si>
    <t xml:space="preserve">Próxima publicación 19-nov-2026 (julio-septiembre)</t>
  </si>
  <si>
    <t xml:space="preserve">19-nov</t>
  </si>
  <si>
    <t xml:space="preserve">Calendario Banxico 2026.</t>
  </si>
  <si>
    <t xml:space="preserve">Banxico en 6.50% en septiembre 2026</t>
  </si>
  <si>
    <t xml:space="preserve">6.50</t>
  </si>
  <si>
    <t xml:space="preserve">Decisión del 24-sep-2026; tercera pausa consecutiva.</t>
  </si>
  <si>
    <t xml:space="preserve">Parte 2. Correcciones del asesor</t>
  </si>
  <si>
    <t xml:space="preserve">Corrección pedida</t>
  </si>
  <si>
    <t xml:space="preserve">Qué se hizo</t>
  </si>
  <si>
    <t xml:space="preserve">Dónde</t>
  </si>
  <si>
    <t xml:space="preserve">Gráfica del cuadro de la página 3 (brecha por tamaño)</t>
  </si>
  <si>
    <t xml:space="preserve">Gráficas de pymes vs grandes con tendencia y brecha anual</t>
  </si>
  <si>
    <t xml:space="preserve">Por tamaño; Word Banxico</t>
  </si>
  <si>
    <t xml:space="preserve">Hecho</t>
  </si>
  <si>
    <t xml:space="preserve">Base de datos de las fuentes de las imágenes</t>
  </si>
  <si>
    <t xml:space="preserve">Hoja con los datos de cada figura y su fuente</t>
  </si>
  <si>
    <t xml:space="preserve">Hipótesis 2020-2026</t>
  </si>
  <si>
    <t xml:space="preserve">Seis hipótesis con su dato clave</t>
  </si>
  <si>
    <t xml:space="preserve">Hipótesis; ambos Word</t>
  </si>
  <si>
    <t xml:space="preserve">Base y gráfico de tendencia de la encuesta</t>
  </si>
  <si>
    <t xml:space="preserve">Serie completa con tendencia lineal</t>
  </si>
  <si>
    <t xml:space="preserve">Una para grandes y otra para pymes</t>
  </si>
  <si>
    <t xml:space="preserve">Gráficas por tamaño con tendencia</t>
  </si>
  <si>
    <t xml:space="preserve">Cuadro gran empresa y cuadro medianas y pequeñas</t>
  </si>
  <si>
    <t xml:space="preserve">Cuadros A y B trimestrales, C anual y D (II trimestre)</t>
  </si>
  <si>
    <t xml:space="preserve">Faltan algunos trimestres por tamaño (ver Pendientes).</t>
  </si>
  <si>
    <t xml:space="preserve">Componente de exportaciones</t>
  </si>
  <si>
    <t xml:space="preserve">Destino del crédito a comercio exterior, total y por tamaño</t>
  </si>
  <si>
    <t xml:space="preserve">Series; Hipótesis H6</t>
  </si>
  <si>
    <t xml:space="preserve">Hecho con proxy</t>
  </si>
  <si>
    <t xml:space="preserve">El SIE no separa exportadoras.</t>
  </si>
  <si>
    <t xml:space="preserve">Crédito nuevo por año 2020 a III-2026</t>
  </si>
  <si>
    <t xml:space="preserve">Resumen anual 2020-2026 con los 4 trimestres de 2020 en diseño vigente</t>
  </si>
  <si>
    <t xml:space="preserve">Resumen anual; Serie completa</t>
  </si>
  <si>
    <t xml:space="preserve">Hecho (III-26 pendiente)</t>
  </si>
  <si>
    <t xml:space="preserve">III-26 se publica el 19-nov-2026.</t>
  </si>
  <si>
    <t xml:space="preserve">Brecha por tamaño por año 2020-26</t>
  </si>
  <si>
    <t xml:space="preserve">Cuadro C</t>
  </si>
  <si>
    <t xml:space="preserve">Rechazo y costo por pymes, grandes y anual</t>
  </si>
  <si>
    <t xml:space="preserve">Anual total y II trimestre de cada año por tamaño</t>
  </si>
  <si>
    <t xml:space="preserve">Hecho; por tamaño solo II trimestres</t>
  </si>
  <si>
    <t xml:space="preserve">Añadir la TIIE</t>
  </si>
  <si>
    <t xml:space="preserve">TIIE 28 (fin y promedio de trimestre) y TIIE de fondeo</t>
  </si>
  <si>
    <t xml:space="preserve">Series col. G-I; hoja TIIE; Resumen anual</t>
  </si>
  <si>
    <t xml:space="preserve">SIE, SF43783, SF283, SF331450.</t>
  </si>
  <si>
    <t xml:space="preserve">Variables: qué son, porcentaje</t>
  </si>
  <si>
    <t xml:space="preserve">Hoja de variables y unidades</t>
  </si>
  <si>
    <t xml:space="preserve">Serie completa 2020-2026 y tercer trimestre 2026</t>
  </si>
  <si>
    <t xml:space="preserve">27 trimestres I-20 a III-26</t>
  </si>
  <si>
    <t xml:space="preserve">Revisar si la información es acumulada / IV trimestre</t>
  </si>
  <si>
    <t xml:space="preserve">No es acumulada; se muestra el IV trimestre junto al promedio anual</t>
  </si>
  <si>
    <t xml:space="preserve">Resumen anual col. E; Variables</t>
  </si>
  <si>
    <t xml:space="preserve">Fuente debajo de cada gráfica</t>
  </si>
  <si>
    <t xml:space="preserve">Línea 'Fuente:' bajo cada gráfica del libro y de los Word</t>
  </si>
  <si>
    <t xml:space="preserve">Todas</t>
  </si>
  <si>
    <t xml:space="preserve">2020: faltaban I, II y III trimestre</t>
  </si>
  <si>
    <t xml:space="preserve">Diseño vigente del SIE para los 4 trimestres; muestra anterior como referencia</t>
  </si>
  <si>
    <t xml:space="preserve">Series; Serie completa; Resumen anual</t>
  </si>
  <si>
    <t xml:space="preserve">Parte 3. Datos del SIE</t>
  </si>
  <si>
    <t xml:space="preserve">Niveles calculados con la variación anual del SIE vs datos publicados</t>
  </si>
  <si>
    <t xml:space="preserve">643 comparaciones</t>
  </si>
  <si>
    <t xml:space="preserve">Diferencia máxima 0.004</t>
  </si>
  <si>
    <t xml:space="preserve">Todas las series del SIE coinciden con los comunicados al redondear a un decimal.</t>
  </si>
  <si>
    <t xml:space="preserve">Fuentes</t>
  </si>
  <si>
    <t xml:space="preserve">Comunicados de Banxico, consultas al SIE y notas citadas.</t>
  </si>
  <si>
    <t xml:space="preserve">Comunicado</t>
  </si>
  <si>
    <t xml:space="preserve">Uso</t>
  </si>
  <si>
    <t xml:space="preserve">URL</t>
  </si>
  <si>
    <t xml:space="preserve">II-2026 (20-ago-2026)</t>
  </si>
  <si>
    <t xml:space="preserve">Series II-24 a II-26; cuadros I-26 y II-26</t>
  </si>
  <si>
    <t xml:space="preserve">https://www.banxico.org.mx/publicaciones-y-prensa/evolucion-trimestral-del-financiamiento-a-las-empr/{E337ADB1-E981-1E18-A430-CEF8FF7A5164}.pdf</t>
  </si>
  <si>
    <t xml:space="preserve">IV-2025 (19-feb-2026)</t>
  </si>
  <si>
    <t xml:space="preserve">Series IV-23 a IV-25; cuadros III-25 y IV-25</t>
  </si>
  <si>
    <t xml:space="preserve">https://www.banxico.org.mx/publicaciones-y-prensa/evolucion-trimestral-del-financiamiento-a-las-empr/{6353FB17-0AEC-FEC4-C353-23DA19D12758}.pdf</t>
  </si>
  <si>
    <t xml:space="preserve">II-2025 (21-ago-2025)</t>
  </si>
  <si>
    <t xml:space="preserve">Cuadros I-25 y II-25</t>
  </si>
  <si>
    <t xml:space="preserve">https://www.banxico.org.mx/publicaciones-y-prensa/evolucion-trimestral-del-financiamiento-a-las-empr/{A359AF39-1AA0-580C-3CEF-9373F9D485D8}.pdf</t>
  </si>
  <si>
    <t xml:space="preserve">IV-2024 (20-feb-2025)</t>
  </si>
  <si>
    <t xml:space="preserve">Cuadros III-24 y IV-24</t>
  </si>
  <si>
    <t xml:space="preserve">https://www.banxico.org.mx/publicaciones-y-prensa/evolucion-trimestral-del-financiamiento-a-las-empr/{41E9A188-3BBF-92FE-3901-BFCF227A03C1}.pdf</t>
  </si>
  <si>
    <t xml:space="preserve">II-2024 (22-ago-2024)</t>
  </si>
  <si>
    <t xml:space="preserve">Series II-22 a II-24; cuadros I-24 y II-24</t>
  </si>
  <si>
    <t xml:space="preserve">https://www.banxico.org.mx/publicaciones-y-prensa/evolucion-trimestral-del-financiamiento-a-las-empr/{C03F13AB-9577-CCE0-8FE6-66CD253255B7}.pdf</t>
  </si>
  <si>
    <t xml:space="preserve">IV-2023 (22-feb-2024)</t>
  </si>
  <si>
    <t xml:space="preserve">Series IV-21 a IV-23; cuadros III-23 y IV-23</t>
  </si>
  <si>
    <t xml:space="preserve">https://www.banxico.org.mx/publicaciones-y-prensa/evolucion-trimestral-del-financiamiento-a-las-empr/{E2598EEE-1219-84C2-FA87-EC08CD410AF0}.pdf</t>
  </si>
  <si>
    <t xml:space="preserve">II-2023 (17-ago-2023)</t>
  </si>
  <si>
    <t xml:space="preserve">Cuadros I-23 y II-23</t>
  </si>
  <si>
    <t xml:space="preserve">https://www.banxico.org.mx/publicaciones-y-prensa/evolucion-trimestral-del-financiamiento-a-las-empr/{0CE3D5CB-D226-BD23-14DD-FF6866A972C4}.pdf</t>
  </si>
  <si>
    <t xml:space="preserve">IV-2022 (16-feb-2023)</t>
  </si>
  <si>
    <t xml:space="preserve">Primer comunicado con diseño vigente; series IV-20 a IV-22; cuadros III-22 y IV-22</t>
  </si>
  <si>
    <t xml:space="preserve">https://www.banxico.org.mx/publicaciones-y-prensa/evolucion-trimestral-del-financiamiento-a-las-empr/{D5CA1289-F2D7-09C2-7B2D-423C8E37F21D}.pdf</t>
  </si>
  <si>
    <t xml:space="preserve">II-2022 (18-ago-2022)</t>
  </si>
  <si>
    <t xml:space="preserve">Muestra anterior: II-20 a II-22</t>
  </si>
  <si>
    <t xml:space="preserve">https://www.banxico.org.mx/publicaciones-y-prensa/evolucion-trimestral-del-financiamiento-a-las-empr/{FB5B2684-8343-D0B7-062D-8CBD1E9275CA}.pdf</t>
  </si>
  <si>
    <t xml:space="preserve">I-2021 (20-may-2021)</t>
  </si>
  <si>
    <t xml:space="preserve">Muestra anterior: I-19 a I-21</t>
  </si>
  <si>
    <t xml:space="preserve">https://www.banxico.org.mx/publicaciones-y-prensa/evolucion-trimestral-del-financiamiento-a-las-empr/{2F0797C9-2616-D11A-47F5-39FE48B68D31}.pdf</t>
  </si>
  <si>
    <t xml:space="preserve">Nota metodológica</t>
  </si>
  <si>
    <t xml:space="preserve">Referencia</t>
  </si>
  <si>
    <t xml:space="preserve">https://www.banxico.org.mx/apps/sie/{9F0C92AB-EEAE-142D-4CC8-EC8DC2F2A7AD}.pdf</t>
  </si>
  <si>
    <t xml:space="preserve">SIE cuadro CF910</t>
  </si>
  <si>
    <t xml:space="preserve">https://www.banxico.org.mx/SieInternet/consultarDirectorioInternetAction.do?sector=19&amp;accion=consultarCuadro&amp;idCuadro=CF910&amp;locale=es</t>
  </si>
  <si>
    <t xml:space="preserve">SIE: encuesta de evaluación coyuntural del mercado crediticio (consulta 14-oct-2026)</t>
  </si>
  <si>
    <t xml:space="preserve">590 series por total, tamaño, actividad y región; tasa de crecimiento anual, I-2020 a II-2026</t>
  </si>
  <si>
    <t xml:space="preserve">https://www.banxico.org.mx/SieInternet/</t>
  </si>
  <si>
    <t xml:space="preserve">SIE: SF43783 (consulta 14-oct-2026)</t>
  </si>
  <si>
    <t xml:space="preserve">TIIE a 28 días, diaria</t>
  </si>
  <si>
    <t xml:space="preserve">https://www.banxico.org.mx/SieInternet/consultarDirectorioInternetAction.do?accion=consultarCuadro&amp;idCuadro=CF111</t>
  </si>
  <si>
    <t xml:space="preserve">SIE: SF283 y SF331450 (consulta 14-oct-2026)</t>
  </si>
  <si>
    <t xml:space="preserve">TIIE 28 días y TIIE de fondeo, promedio mensual</t>
  </si>
  <si>
    <t xml:space="preserve">https://www.banxico.org.mx/SieInternet/consultarDirectorioInternetAction.do?sector=18&amp;accion=consultarCuadro&amp;idCuadro=CF113&amp;locale=es</t>
  </si>
  <si>
    <t xml:space="preserve">I-2026 (21-may-2026), vía Yahoo Noticias</t>
  </si>
  <si>
    <t xml:space="preserve">Nuevo crédito por tamaño I-26 (12.1% hasta 100; 20.4% más de 100)</t>
  </si>
  <si>
    <t xml:space="preserve">https://es-us.noticias.yahoo.com/trimestre-subi%C3%B3-porcentaje-empresas-utilizaron-045907948.html</t>
  </si>
  <si>
    <t xml:space="preserve">I-2024, vía Dinero en Imagen</t>
  </si>
  <si>
    <t xml:space="preserve">Nuevo crédito por tamaño I-24 (16.3% hasta 100; 20.2% más de 100)</t>
  </si>
  <si>
    <t xml:space="preserve">https://www.dineroenimagen.com/empresas/encuesta-de-banxico-revela-mas-empresas-evitan-nuevos-creditos-bancarios/186720</t>
  </si>
  <si>
    <t xml:space="preserve">Calendario de publicación 2026</t>
  </si>
  <si>
    <t xml:space="preserve">III-2026 se publica el 19-nov-2026</t>
  </si>
  <si>
    <t xml:space="preserve">https://www.banxico.org.mx/publicaciones-y-prensa/evolucion-trimestral-del-financiamiento-a-las-empr/evolucion-del-financiamiento-.html</t>
  </si>
  <si>
    <t xml:space="preserve">TIIE de Fondeo (BDO)</t>
  </si>
  <si>
    <t xml:space="preserve">Desde 2025 los créditos nuevos en pesos usan la TIIE de Fondeo en lugar de la TIIE 28</t>
  </si>
  <si>
    <t xml:space="preserve">https://www.bdomexico.com/es-mx/publicaciones/boletines-de-precios-de-transferencia/2025/tiie-de-fondeo</t>
  </si>
  <si>
    <t xml:space="preserve">ENAFIN 2024 (INEGI-CNBV)</t>
  </si>
  <si>
    <t xml:space="preserve">Datos de la Figura 1 del documento de servicio social</t>
  </si>
  <si>
    <t xml:space="preserve">https://www.inegi.org.mx/contenidos/saladeprensa/boletines/2025/enafin/ENAFIN_24_RR.pdf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</si>
</sst>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0"/>
    <numFmt numFmtId="167" formatCode="0.0"/>
    <numFmt numFmtId="168" formatCode="0.0%"/>
    <numFmt numFmtId="169" formatCode="0.00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7030A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7030A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i val="true"/>
      <sz val="9"/>
      <color rgb="FF33333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4B4"/>
      <rgbColor rgb="FF878787"/>
      <rgbColor rgb="FF9999FF"/>
      <rgbColor rgb="FF7030A0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55555"/>
      <rgbColor rgb="FF8C8C8C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Nuevo crédito bancario, I-2020 a II-2026 (% de empresas)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Series!J4</c:f>
              <c:strCache>
                <c:ptCount val="1"/>
                <c:pt idx="0">
                  <c:v>Usaron nuevo crédito bancario</c:v>
                </c:pt>
              </c:strCache>
            </c:strRef>
          </c:tx>
          <c:spPr>
            <a:solidFill>
              <a:srgbClr val="8c8c8c"/>
            </a:solidFill>
            <a:ln w="28440">
              <a:noFill/>
            </a:ln>
          </c:spPr>
          <c:marker>
            <c:symbol val="circle"/>
            <c:size val="6"/>
            <c:spPr>
              <a:solidFill>
                <a:srgbClr val="8c8c8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5840">
                <a:solidFill>
                  <a:srgbClr val="2a78d6"/>
                </a:solidFill>
                <a:prstDash val="dash"/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Series!$A$5:$A$30</c:f>
              <c:strCache>
                <c:ptCount val="26"/>
                <c:pt idx="0">
                  <c:v>I-20</c:v>
                </c:pt>
                <c:pt idx="1">
                  <c:v>II-20</c:v>
                </c:pt>
                <c:pt idx="2">
                  <c:v>III-20</c:v>
                </c:pt>
                <c:pt idx="3">
                  <c:v>IV-20</c:v>
                </c:pt>
                <c:pt idx="4">
                  <c:v>I-21</c:v>
                </c:pt>
                <c:pt idx="5">
                  <c:v>II-21</c:v>
                </c:pt>
                <c:pt idx="6">
                  <c:v>III-21</c:v>
                </c:pt>
                <c:pt idx="7">
                  <c:v>IV-21</c:v>
                </c:pt>
                <c:pt idx="8">
                  <c:v>I-22</c:v>
                </c:pt>
                <c:pt idx="9">
                  <c:v>II-22</c:v>
                </c:pt>
                <c:pt idx="10">
                  <c:v>III-22</c:v>
                </c:pt>
                <c:pt idx="11">
                  <c:v>IV-22</c:v>
                </c:pt>
                <c:pt idx="12">
                  <c:v>I-23</c:v>
                </c:pt>
                <c:pt idx="13">
                  <c:v>II-23</c:v>
                </c:pt>
                <c:pt idx="14">
                  <c:v>III-23</c:v>
                </c:pt>
                <c:pt idx="15">
                  <c:v>IV-23</c:v>
                </c:pt>
                <c:pt idx="16">
                  <c:v>I-24</c:v>
                </c:pt>
                <c:pt idx="17">
                  <c:v>II-24</c:v>
                </c:pt>
                <c:pt idx="18">
                  <c:v>III-24</c:v>
                </c:pt>
                <c:pt idx="19">
                  <c:v>IV-24</c:v>
                </c:pt>
                <c:pt idx="20">
                  <c:v>I-25</c:v>
                </c:pt>
                <c:pt idx="21">
                  <c:v>II-25</c:v>
                </c:pt>
                <c:pt idx="22">
                  <c:v>III-25</c:v>
                </c:pt>
                <c:pt idx="23">
                  <c:v>IV-25</c:v>
                </c:pt>
                <c:pt idx="24">
                  <c:v>I-26</c:v>
                </c:pt>
                <c:pt idx="25">
                  <c:v>II-26</c:v>
                </c:pt>
              </c:strCache>
            </c:strRef>
          </c:cat>
          <c:val>
            <c:numRef>
              <c:f>Series!$J$5:$J$30</c:f>
              <c:numCache>
                <c:formatCode>0.0</c:formatCode>
                <c:ptCount val="26"/>
                <c:pt idx="0">
                  <c:v>14.8</c:v>
                </c:pt>
                <c:pt idx="1">
                  <c:v>10.6</c:v>
                </c:pt>
                <c:pt idx="2">
                  <c:v>12.8</c:v>
                </c:pt>
                <c:pt idx="3">
                  <c:v>13.6</c:v>
                </c:pt>
                <c:pt idx="4">
                  <c:v>15.5</c:v>
                </c:pt>
                <c:pt idx="5">
                  <c:v>11</c:v>
                </c:pt>
                <c:pt idx="6">
                  <c:v>11.5</c:v>
                </c:pt>
                <c:pt idx="7">
                  <c:v>9</c:v>
                </c:pt>
                <c:pt idx="8">
                  <c:v>15.2</c:v>
                </c:pt>
                <c:pt idx="9">
                  <c:v>15.9</c:v>
                </c:pt>
                <c:pt idx="10">
                  <c:v>16.5</c:v>
                </c:pt>
                <c:pt idx="11">
                  <c:v>13.8</c:v>
                </c:pt>
                <c:pt idx="12">
                  <c:v>15.9</c:v>
                </c:pt>
                <c:pt idx="13">
                  <c:v>14.8</c:v>
                </c:pt>
                <c:pt idx="14">
                  <c:v>15.2</c:v>
                </c:pt>
                <c:pt idx="15">
                  <c:v>15.6</c:v>
                </c:pt>
                <c:pt idx="16">
                  <c:v>16.7</c:v>
                </c:pt>
                <c:pt idx="17">
                  <c:v>12.5</c:v>
                </c:pt>
                <c:pt idx="18">
                  <c:v>15.2</c:v>
                </c:pt>
                <c:pt idx="19">
                  <c:v>12.1</c:v>
                </c:pt>
                <c:pt idx="20">
                  <c:v>13.3</c:v>
                </c:pt>
                <c:pt idx="21">
                  <c:v>14.9</c:v>
                </c:pt>
                <c:pt idx="22">
                  <c:v>11.5</c:v>
                </c:pt>
                <c:pt idx="23">
                  <c:v>15.3</c:v>
                </c:pt>
                <c:pt idx="24">
                  <c:v>13.1</c:v>
                </c:pt>
                <c:pt idx="25">
                  <c:v>11.2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Series!K4</c:f>
              <c:strCache>
                <c:ptCount val="1"/>
                <c:pt idx="0">
                  <c:v>Promedio móvil 4T nuevo crédito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Series!$A$5:$A$30</c:f>
              <c:strCache>
                <c:ptCount val="26"/>
                <c:pt idx="0">
                  <c:v>I-20</c:v>
                </c:pt>
                <c:pt idx="1">
                  <c:v>II-20</c:v>
                </c:pt>
                <c:pt idx="2">
                  <c:v>III-20</c:v>
                </c:pt>
                <c:pt idx="3">
                  <c:v>IV-20</c:v>
                </c:pt>
                <c:pt idx="4">
                  <c:v>I-21</c:v>
                </c:pt>
                <c:pt idx="5">
                  <c:v>II-21</c:v>
                </c:pt>
                <c:pt idx="6">
                  <c:v>III-21</c:v>
                </c:pt>
                <c:pt idx="7">
                  <c:v>IV-21</c:v>
                </c:pt>
                <c:pt idx="8">
                  <c:v>I-22</c:v>
                </c:pt>
                <c:pt idx="9">
                  <c:v>II-22</c:v>
                </c:pt>
                <c:pt idx="10">
                  <c:v>III-22</c:v>
                </c:pt>
                <c:pt idx="11">
                  <c:v>IV-22</c:v>
                </c:pt>
                <c:pt idx="12">
                  <c:v>I-23</c:v>
                </c:pt>
                <c:pt idx="13">
                  <c:v>II-23</c:v>
                </c:pt>
                <c:pt idx="14">
                  <c:v>III-23</c:v>
                </c:pt>
                <c:pt idx="15">
                  <c:v>IV-23</c:v>
                </c:pt>
                <c:pt idx="16">
                  <c:v>I-24</c:v>
                </c:pt>
                <c:pt idx="17">
                  <c:v>II-24</c:v>
                </c:pt>
                <c:pt idx="18">
                  <c:v>III-24</c:v>
                </c:pt>
                <c:pt idx="19">
                  <c:v>IV-24</c:v>
                </c:pt>
                <c:pt idx="20">
                  <c:v>I-25</c:v>
                </c:pt>
                <c:pt idx="21">
                  <c:v>II-25</c:v>
                </c:pt>
                <c:pt idx="22">
                  <c:v>III-25</c:v>
                </c:pt>
                <c:pt idx="23">
                  <c:v>IV-25</c:v>
                </c:pt>
                <c:pt idx="24">
                  <c:v>I-26</c:v>
                </c:pt>
                <c:pt idx="25">
                  <c:v>II-26</c:v>
                </c:pt>
              </c:strCache>
            </c:strRef>
          </c:cat>
          <c:val>
            <c:numRef>
              <c:f>Series!$K$5:$K$30</c:f>
              <c:numCache>
                <c:formatCode>0.0</c:formatCode>
                <c:ptCount val="26"/>
                <c:pt idx="3">
                  <c:v>12.95</c:v>
                </c:pt>
                <c:pt idx="4">
                  <c:v>13.125</c:v>
                </c:pt>
                <c:pt idx="5">
                  <c:v>13.225</c:v>
                </c:pt>
                <c:pt idx="6">
                  <c:v>12.9</c:v>
                </c:pt>
                <c:pt idx="7">
                  <c:v>11.75</c:v>
                </c:pt>
                <c:pt idx="8">
                  <c:v>11.675</c:v>
                </c:pt>
                <c:pt idx="9">
                  <c:v>12.9</c:v>
                </c:pt>
                <c:pt idx="10">
                  <c:v>14.15</c:v>
                </c:pt>
                <c:pt idx="11">
                  <c:v>15.35</c:v>
                </c:pt>
                <c:pt idx="12">
                  <c:v>15.525</c:v>
                </c:pt>
                <c:pt idx="13">
                  <c:v>15.25</c:v>
                </c:pt>
                <c:pt idx="14">
                  <c:v>14.925</c:v>
                </c:pt>
                <c:pt idx="15">
                  <c:v>15.375</c:v>
                </c:pt>
                <c:pt idx="16">
                  <c:v>15.575</c:v>
                </c:pt>
                <c:pt idx="17">
                  <c:v>15</c:v>
                </c:pt>
                <c:pt idx="18">
                  <c:v>15</c:v>
                </c:pt>
                <c:pt idx="19">
                  <c:v>14.125</c:v>
                </c:pt>
                <c:pt idx="20">
                  <c:v>13.275</c:v>
                </c:pt>
                <c:pt idx="21">
                  <c:v>13.875</c:v>
                </c:pt>
                <c:pt idx="22">
                  <c:v>12.95</c:v>
                </c:pt>
                <c:pt idx="23">
                  <c:v>13.75</c:v>
                </c:pt>
                <c:pt idx="24">
                  <c:v>13.7</c:v>
                </c:pt>
                <c:pt idx="25">
                  <c:v>12.775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940926"/>
        <c:axId val="9308059"/>
      </c:lineChart>
      <c:catAx>
        <c:axId val="309409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08059"/>
        <c:crosses val="autoZero"/>
        <c:auto val="1"/>
        <c:lblAlgn val="ctr"/>
        <c:lblOffset val="100"/>
        <c:noMultiLvlLbl val="0"/>
      </c:catAx>
      <c:valAx>
        <c:axId val="930805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de empresas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4092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Nuevo crédito bancario 2020-2026 y línea de tendencia (% de empresas)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'Serie completa 2020-2026'!L4</c:f>
              <c:strCache>
                <c:ptCount val="1"/>
                <c:pt idx="0">
                  <c:v>Nuevo crédito — diseño vigente (para gráfica)</c:v>
                </c:pt>
              </c:strCache>
            </c:strRef>
          </c:tx>
          <c:spPr>
            <a:solidFill>
              <a:srgbClr val="2a78d6"/>
            </a:solidFill>
            <a:ln w="2232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'Serie completa 2020-2026'!$A$5:$A$30</c:f>
              <c:strCache>
                <c:ptCount val="26"/>
                <c:pt idx="0">
                  <c:v>I-20</c:v>
                </c:pt>
                <c:pt idx="1">
                  <c:v>II-20</c:v>
                </c:pt>
                <c:pt idx="2">
                  <c:v>III-20</c:v>
                </c:pt>
                <c:pt idx="3">
                  <c:v>IV-20</c:v>
                </c:pt>
                <c:pt idx="4">
                  <c:v>I-21</c:v>
                </c:pt>
                <c:pt idx="5">
                  <c:v>II-21</c:v>
                </c:pt>
                <c:pt idx="6">
                  <c:v>III-21</c:v>
                </c:pt>
                <c:pt idx="7">
                  <c:v>IV-21</c:v>
                </c:pt>
                <c:pt idx="8">
                  <c:v>I-22</c:v>
                </c:pt>
                <c:pt idx="9">
                  <c:v>II-22</c:v>
                </c:pt>
                <c:pt idx="10">
                  <c:v>III-22</c:v>
                </c:pt>
                <c:pt idx="11">
                  <c:v>IV-22</c:v>
                </c:pt>
                <c:pt idx="12">
                  <c:v>I-23</c:v>
                </c:pt>
                <c:pt idx="13">
                  <c:v>II-23</c:v>
                </c:pt>
                <c:pt idx="14">
                  <c:v>III-23</c:v>
                </c:pt>
                <c:pt idx="15">
                  <c:v>IV-23</c:v>
                </c:pt>
                <c:pt idx="16">
                  <c:v>I-24</c:v>
                </c:pt>
                <c:pt idx="17">
                  <c:v>II-24</c:v>
                </c:pt>
                <c:pt idx="18">
                  <c:v>III-24</c:v>
                </c:pt>
                <c:pt idx="19">
                  <c:v>IV-24</c:v>
                </c:pt>
                <c:pt idx="20">
                  <c:v>I-25</c:v>
                </c:pt>
                <c:pt idx="21">
                  <c:v>II-25</c:v>
                </c:pt>
                <c:pt idx="22">
                  <c:v>III-25</c:v>
                </c:pt>
                <c:pt idx="23">
                  <c:v>IV-25</c:v>
                </c:pt>
                <c:pt idx="24">
                  <c:v>I-26</c:v>
                </c:pt>
                <c:pt idx="25">
                  <c:v>II-26</c:v>
                </c:pt>
              </c:strCache>
            </c:strRef>
          </c:cat>
          <c:val>
            <c:numRef>
              <c:f>'Serie completa 2020-2026'!$L$5:$L$30</c:f>
              <c:numCache>
                <c:formatCode>0.0</c:formatCode>
                <c:ptCount val="26"/>
                <c:pt idx="0">
                  <c:v>14.8</c:v>
                </c:pt>
                <c:pt idx="1">
                  <c:v>10.6</c:v>
                </c:pt>
                <c:pt idx="2">
                  <c:v>12.8</c:v>
                </c:pt>
                <c:pt idx="3">
                  <c:v>13.6</c:v>
                </c:pt>
                <c:pt idx="4">
                  <c:v>15.5</c:v>
                </c:pt>
                <c:pt idx="5">
                  <c:v>11</c:v>
                </c:pt>
                <c:pt idx="6">
                  <c:v>11.5</c:v>
                </c:pt>
                <c:pt idx="7">
                  <c:v>9</c:v>
                </c:pt>
                <c:pt idx="8">
                  <c:v>15.2</c:v>
                </c:pt>
                <c:pt idx="9">
                  <c:v>15.9</c:v>
                </c:pt>
                <c:pt idx="10">
                  <c:v>16.5</c:v>
                </c:pt>
                <c:pt idx="11">
                  <c:v>13.8</c:v>
                </c:pt>
                <c:pt idx="12">
                  <c:v>15.9</c:v>
                </c:pt>
                <c:pt idx="13">
                  <c:v>14.8</c:v>
                </c:pt>
                <c:pt idx="14">
                  <c:v>15.2</c:v>
                </c:pt>
                <c:pt idx="15">
                  <c:v>15.6</c:v>
                </c:pt>
                <c:pt idx="16">
                  <c:v>16.7</c:v>
                </c:pt>
                <c:pt idx="17">
                  <c:v>12.5</c:v>
                </c:pt>
                <c:pt idx="18">
                  <c:v>15.2</c:v>
                </c:pt>
                <c:pt idx="19">
                  <c:v>12.1</c:v>
                </c:pt>
                <c:pt idx="20">
                  <c:v>13.3</c:v>
                </c:pt>
                <c:pt idx="21">
                  <c:v>14.9</c:v>
                </c:pt>
                <c:pt idx="22">
                  <c:v>11.5</c:v>
                </c:pt>
                <c:pt idx="23">
                  <c:v>15.3</c:v>
                </c:pt>
                <c:pt idx="24">
                  <c:v>13.1</c:v>
                </c:pt>
                <c:pt idx="25">
                  <c:v>11.2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'Serie completa 2020-2026'!M4</c:f>
              <c:strCache>
                <c:ptCount val="1"/>
                <c:pt idx="0">
                  <c:v>Nuevo crédito — muestra anterior (referencia)</c:v>
                </c:pt>
              </c:strCache>
            </c:strRef>
          </c:tx>
          <c:spPr>
            <a:solidFill>
              <a:srgbClr val="8c8c8c"/>
            </a:solidFill>
            <a:ln w="19080">
              <a:solidFill>
                <a:srgbClr val="8c8c8c"/>
              </a:solidFill>
              <a:prstDash val="dash"/>
              <a:round/>
            </a:ln>
          </c:spPr>
          <c:marker>
            <c:symbol val="triangle"/>
            <c:size val="6"/>
            <c:spPr>
              <a:solidFill>
                <a:srgbClr val="8c8c8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'Serie completa 2020-2026'!$A$5:$A$30</c:f>
              <c:strCache>
                <c:ptCount val="26"/>
                <c:pt idx="0">
                  <c:v>I-20</c:v>
                </c:pt>
                <c:pt idx="1">
                  <c:v>II-20</c:v>
                </c:pt>
                <c:pt idx="2">
                  <c:v>III-20</c:v>
                </c:pt>
                <c:pt idx="3">
                  <c:v>IV-20</c:v>
                </c:pt>
                <c:pt idx="4">
                  <c:v>I-21</c:v>
                </c:pt>
                <c:pt idx="5">
                  <c:v>II-21</c:v>
                </c:pt>
                <c:pt idx="6">
                  <c:v>III-21</c:v>
                </c:pt>
                <c:pt idx="7">
                  <c:v>IV-21</c:v>
                </c:pt>
                <c:pt idx="8">
                  <c:v>I-22</c:v>
                </c:pt>
                <c:pt idx="9">
                  <c:v>II-22</c:v>
                </c:pt>
                <c:pt idx="10">
                  <c:v>III-22</c:v>
                </c:pt>
                <c:pt idx="11">
                  <c:v>IV-22</c:v>
                </c:pt>
                <c:pt idx="12">
                  <c:v>I-23</c:v>
                </c:pt>
                <c:pt idx="13">
                  <c:v>II-23</c:v>
                </c:pt>
                <c:pt idx="14">
                  <c:v>III-23</c:v>
                </c:pt>
                <c:pt idx="15">
                  <c:v>IV-23</c:v>
                </c:pt>
                <c:pt idx="16">
                  <c:v>I-24</c:v>
                </c:pt>
                <c:pt idx="17">
                  <c:v>II-24</c:v>
                </c:pt>
                <c:pt idx="18">
                  <c:v>III-24</c:v>
                </c:pt>
                <c:pt idx="19">
                  <c:v>IV-24</c:v>
                </c:pt>
                <c:pt idx="20">
                  <c:v>I-25</c:v>
                </c:pt>
                <c:pt idx="21">
                  <c:v>II-25</c:v>
                </c:pt>
                <c:pt idx="22">
                  <c:v>III-25</c:v>
                </c:pt>
                <c:pt idx="23">
                  <c:v>IV-25</c:v>
                </c:pt>
                <c:pt idx="24">
                  <c:v>I-26</c:v>
                </c:pt>
                <c:pt idx="25">
                  <c:v>II-26</c:v>
                </c:pt>
              </c:strCache>
            </c:strRef>
          </c:cat>
          <c:val>
            <c:numRef>
              <c:f>'Serie completa 2020-2026'!$M$5:$M$30</c:f>
              <c:numCache>
                <c:formatCode>0.0</c:formatCode>
                <c:ptCount val="26"/>
                <c:pt idx="0">
                  <c:v>24.2</c:v>
                </c:pt>
                <c:pt idx="1">
                  <c:v>21.6</c:v>
                </c:pt>
                <c:pt idx="2">
                  <c:v>19</c:v>
                </c:pt>
                <c:pt idx="3">
                  <c:v>16.8</c:v>
                </c:pt>
                <c:pt idx="4">
                  <c:v>20.8</c:v>
                </c:pt>
                <c:pt idx="5">
                  <c:v>17.4</c:v>
                </c:pt>
                <c:pt idx="6">
                  <c:v>19.3</c:v>
                </c:pt>
                <c:pt idx="7">
                  <c:v>17.8</c:v>
                </c:pt>
                <c:pt idx="8">
                  <c:v>19.5</c:v>
                </c:pt>
                <c:pt idx="9">
                  <c:v>21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'Serie completa 2020-2026'!N4</c:f>
              <c:strCache>
                <c:ptCount val="1"/>
                <c:pt idx="0">
                  <c:v>Tendencia lineal I-20 a II-26</c:v>
                </c:pt>
              </c:strCache>
            </c:strRef>
          </c:tx>
          <c:spPr>
            <a:solidFill>
              <a:srgbClr val="2a78d6"/>
            </a:solidFill>
            <a:ln w="12600">
              <a:solidFill>
                <a:srgbClr val="2a78d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'Serie completa 2020-2026'!$A$5:$A$30</c:f>
              <c:strCache>
                <c:ptCount val="26"/>
                <c:pt idx="0">
                  <c:v>I-20</c:v>
                </c:pt>
                <c:pt idx="1">
                  <c:v>II-20</c:v>
                </c:pt>
                <c:pt idx="2">
                  <c:v>III-20</c:v>
                </c:pt>
                <c:pt idx="3">
                  <c:v>IV-20</c:v>
                </c:pt>
                <c:pt idx="4">
                  <c:v>I-21</c:v>
                </c:pt>
                <c:pt idx="5">
                  <c:v>II-21</c:v>
                </c:pt>
                <c:pt idx="6">
                  <c:v>III-21</c:v>
                </c:pt>
                <c:pt idx="7">
                  <c:v>IV-21</c:v>
                </c:pt>
                <c:pt idx="8">
                  <c:v>I-22</c:v>
                </c:pt>
                <c:pt idx="9">
                  <c:v>II-22</c:v>
                </c:pt>
                <c:pt idx="10">
                  <c:v>III-22</c:v>
                </c:pt>
                <c:pt idx="11">
                  <c:v>IV-22</c:v>
                </c:pt>
                <c:pt idx="12">
                  <c:v>I-23</c:v>
                </c:pt>
                <c:pt idx="13">
                  <c:v>II-23</c:v>
                </c:pt>
                <c:pt idx="14">
                  <c:v>III-23</c:v>
                </c:pt>
                <c:pt idx="15">
                  <c:v>IV-23</c:v>
                </c:pt>
                <c:pt idx="16">
                  <c:v>I-24</c:v>
                </c:pt>
                <c:pt idx="17">
                  <c:v>II-24</c:v>
                </c:pt>
                <c:pt idx="18">
                  <c:v>III-24</c:v>
                </c:pt>
                <c:pt idx="19">
                  <c:v>IV-24</c:v>
                </c:pt>
                <c:pt idx="20">
                  <c:v>I-25</c:v>
                </c:pt>
                <c:pt idx="21">
                  <c:v>II-25</c:v>
                </c:pt>
                <c:pt idx="22">
                  <c:v>III-25</c:v>
                </c:pt>
                <c:pt idx="23">
                  <c:v>IV-25</c:v>
                </c:pt>
                <c:pt idx="24">
                  <c:v>I-26</c:v>
                </c:pt>
                <c:pt idx="25">
                  <c:v>II-26</c:v>
                </c:pt>
              </c:strCache>
            </c:strRef>
          </c:cat>
          <c:val>
            <c:numRef>
              <c:f>'Serie completa 2020-2026'!$N$5:$N$30</c:f>
              <c:numCache>
                <c:formatCode>0.0</c:formatCode>
                <c:ptCount val="26"/>
                <c:pt idx="0">
                  <c:v>13.4923076923077</c:v>
                </c:pt>
                <c:pt idx="1">
                  <c:v>13.5129230769231</c:v>
                </c:pt>
                <c:pt idx="2">
                  <c:v>13.5335384615385</c:v>
                </c:pt>
                <c:pt idx="3">
                  <c:v>13.5541538461538</c:v>
                </c:pt>
                <c:pt idx="4">
                  <c:v>13.5747692307692</c:v>
                </c:pt>
                <c:pt idx="5">
                  <c:v>13.5953846153846</c:v>
                </c:pt>
                <c:pt idx="6">
                  <c:v>13.616</c:v>
                </c:pt>
                <c:pt idx="7">
                  <c:v>13.6366153846154</c:v>
                </c:pt>
                <c:pt idx="8">
                  <c:v>13.6572307692308</c:v>
                </c:pt>
                <c:pt idx="9">
                  <c:v>13.6778461538462</c:v>
                </c:pt>
                <c:pt idx="10">
                  <c:v>13.6984615384615</c:v>
                </c:pt>
                <c:pt idx="11">
                  <c:v>13.7190769230769</c:v>
                </c:pt>
                <c:pt idx="12">
                  <c:v>13.7396923076923</c:v>
                </c:pt>
                <c:pt idx="13">
                  <c:v>13.7603076923077</c:v>
                </c:pt>
                <c:pt idx="14">
                  <c:v>13.7809230769231</c:v>
                </c:pt>
                <c:pt idx="15">
                  <c:v>13.8015384615385</c:v>
                </c:pt>
                <c:pt idx="16">
                  <c:v>13.8221538461538</c:v>
                </c:pt>
                <c:pt idx="17">
                  <c:v>13.8427692307692</c:v>
                </c:pt>
                <c:pt idx="18">
                  <c:v>13.8633846153846</c:v>
                </c:pt>
                <c:pt idx="19">
                  <c:v>13.884</c:v>
                </c:pt>
                <c:pt idx="20">
                  <c:v>13.9046153846154</c:v>
                </c:pt>
                <c:pt idx="21">
                  <c:v>13.9252307692308</c:v>
                </c:pt>
                <c:pt idx="22">
                  <c:v>13.9458461538462</c:v>
                </c:pt>
                <c:pt idx="23">
                  <c:v>13.9664615384615</c:v>
                </c:pt>
                <c:pt idx="24">
                  <c:v>13.9870769230769</c:v>
                </c:pt>
                <c:pt idx="25">
                  <c:v>14.0076923076923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'Serie completa 2020-2026'!O4</c:f>
              <c:strCache>
                <c:ptCount val="1"/>
                <c:pt idx="0">
                  <c:v>Tendencia lineal desde I-23</c:v>
                </c:pt>
              </c:strCache>
            </c:strRef>
          </c:tx>
          <c:spPr>
            <a:solidFill>
              <a:srgbClr val="eb6834"/>
            </a:solidFill>
            <a:ln w="22320">
              <a:solidFill>
                <a:srgbClr val="eb6834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'Serie completa 2020-2026'!$A$5:$A$30</c:f>
              <c:strCache>
                <c:ptCount val="26"/>
                <c:pt idx="0">
                  <c:v>I-20</c:v>
                </c:pt>
                <c:pt idx="1">
                  <c:v>II-20</c:v>
                </c:pt>
                <c:pt idx="2">
                  <c:v>III-20</c:v>
                </c:pt>
                <c:pt idx="3">
                  <c:v>IV-20</c:v>
                </c:pt>
                <c:pt idx="4">
                  <c:v>I-21</c:v>
                </c:pt>
                <c:pt idx="5">
                  <c:v>II-21</c:v>
                </c:pt>
                <c:pt idx="6">
                  <c:v>III-21</c:v>
                </c:pt>
                <c:pt idx="7">
                  <c:v>IV-21</c:v>
                </c:pt>
                <c:pt idx="8">
                  <c:v>I-22</c:v>
                </c:pt>
                <c:pt idx="9">
                  <c:v>II-22</c:v>
                </c:pt>
                <c:pt idx="10">
                  <c:v>III-22</c:v>
                </c:pt>
                <c:pt idx="11">
                  <c:v>IV-22</c:v>
                </c:pt>
                <c:pt idx="12">
                  <c:v>I-23</c:v>
                </c:pt>
                <c:pt idx="13">
                  <c:v>II-23</c:v>
                </c:pt>
                <c:pt idx="14">
                  <c:v>III-23</c:v>
                </c:pt>
                <c:pt idx="15">
                  <c:v>IV-23</c:v>
                </c:pt>
                <c:pt idx="16">
                  <c:v>I-24</c:v>
                </c:pt>
                <c:pt idx="17">
                  <c:v>II-24</c:v>
                </c:pt>
                <c:pt idx="18">
                  <c:v>III-24</c:v>
                </c:pt>
                <c:pt idx="19">
                  <c:v>IV-24</c:v>
                </c:pt>
                <c:pt idx="20">
                  <c:v>I-25</c:v>
                </c:pt>
                <c:pt idx="21">
                  <c:v>II-25</c:v>
                </c:pt>
                <c:pt idx="22">
                  <c:v>III-25</c:v>
                </c:pt>
                <c:pt idx="23">
                  <c:v>IV-25</c:v>
                </c:pt>
                <c:pt idx="24">
                  <c:v>I-26</c:v>
                </c:pt>
                <c:pt idx="25">
                  <c:v>II-26</c:v>
                </c:pt>
              </c:strCache>
            </c:strRef>
          </c:cat>
          <c:val>
            <c:numRef>
              <c:f>'Serie completa 2020-2026'!$O$5:$O$30</c:f>
              <c:numCache>
                <c:formatCode>0.0</c:formatCode>
                <c:ptCount val="26"/>
                <c:pt idx="12">
                  <c:v>15.7685714285714</c:v>
                </c:pt>
                <c:pt idx="13">
                  <c:v>15.5107692307692</c:v>
                </c:pt>
                <c:pt idx="14">
                  <c:v>15.252967032967</c:v>
                </c:pt>
                <c:pt idx="15">
                  <c:v>14.9951648351648</c:v>
                </c:pt>
                <c:pt idx="16">
                  <c:v>14.7373626373626</c:v>
                </c:pt>
                <c:pt idx="17">
                  <c:v>14.4795604395604</c:v>
                </c:pt>
                <c:pt idx="18">
                  <c:v>14.2217582417582</c:v>
                </c:pt>
                <c:pt idx="19">
                  <c:v>13.963956043956</c:v>
                </c:pt>
                <c:pt idx="20">
                  <c:v>13.7061538461538</c:v>
                </c:pt>
                <c:pt idx="21">
                  <c:v>13.4483516483516</c:v>
                </c:pt>
                <c:pt idx="22">
                  <c:v>13.1905494505495</c:v>
                </c:pt>
                <c:pt idx="23">
                  <c:v>12.9327472527473</c:v>
                </c:pt>
                <c:pt idx="24">
                  <c:v>12.6749450549451</c:v>
                </c:pt>
                <c:pt idx="25">
                  <c:v>12.4171428571429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950363"/>
        <c:axId val="17987726"/>
      </c:lineChart>
      <c:catAx>
        <c:axId val="449503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87726"/>
        <c:crosses val="autoZero"/>
        <c:auto val="1"/>
        <c:lblAlgn val="ctr"/>
        <c:lblOffset val="100"/>
        <c:noMultiLvlLbl val="0"/>
      </c:catAx>
      <c:valAx>
        <c:axId val="1798772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de empresas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95036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Índice de costo: tasas de interés, 2020-2026 (50 = sin cambio)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'Serie completa 2020-2026'!J4</c:f>
              <c:strCache>
                <c:ptCount val="1"/>
                <c:pt idx="0">
                  <c:v>ID tasas de interés (índice)</c:v>
                </c:pt>
              </c:strCache>
            </c:strRef>
          </c:tx>
          <c:spPr>
            <a:solidFill>
              <a:srgbClr val="eb6834"/>
            </a:solidFill>
            <a:ln w="22320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5840">
                <a:solidFill>
                  <a:srgbClr val="eb6834"/>
                </a:solidFill>
                <a:prstDash val="dash"/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'Serie completa 2020-2026'!$A$5:$A$30</c:f>
              <c:strCache>
                <c:ptCount val="26"/>
                <c:pt idx="0">
                  <c:v>I-20</c:v>
                </c:pt>
                <c:pt idx="1">
                  <c:v>II-20</c:v>
                </c:pt>
                <c:pt idx="2">
                  <c:v>III-20</c:v>
                </c:pt>
                <c:pt idx="3">
                  <c:v>IV-20</c:v>
                </c:pt>
                <c:pt idx="4">
                  <c:v>I-21</c:v>
                </c:pt>
                <c:pt idx="5">
                  <c:v>II-21</c:v>
                </c:pt>
                <c:pt idx="6">
                  <c:v>III-21</c:v>
                </c:pt>
                <c:pt idx="7">
                  <c:v>IV-21</c:v>
                </c:pt>
                <c:pt idx="8">
                  <c:v>I-22</c:v>
                </c:pt>
                <c:pt idx="9">
                  <c:v>II-22</c:v>
                </c:pt>
                <c:pt idx="10">
                  <c:v>III-22</c:v>
                </c:pt>
                <c:pt idx="11">
                  <c:v>IV-22</c:v>
                </c:pt>
                <c:pt idx="12">
                  <c:v>I-23</c:v>
                </c:pt>
                <c:pt idx="13">
                  <c:v>II-23</c:v>
                </c:pt>
                <c:pt idx="14">
                  <c:v>III-23</c:v>
                </c:pt>
                <c:pt idx="15">
                  <c:v>IV-23</c:v>
                </c:pt>
                <c:pt idx="16">
                  <c:v>I-24</c:v>
                </c:pt>
                <c:pt idx="17">
                  <c:v>II-24</c:v>
                </c:pt>
                <c:pt idx="18">
                  <c:v>III-24</c:v>
                </c:pt>
                <c:pt idx="19">
                  <c:v>IV-24</c:v>
                </c:pt>
                <c:pt idx="20">
                  <c:v>I-25</c:v>
                </c:pt>
                <c:pt idx="21">
                  <c:v>II-25</c:v>
                </c:pt>
                <c:pt idx="22">
                  <c:v>III-25</c:v>
                </c:pt>
                <c:pt idx="23">
                  <c:v>IV-25</c:v>
                </c:pt>
                <c:pt idx="24">
                  <c:v>I-26</c:v>
                </c:pt>
                <c:pt idx="25">
                  <c:v>II-26</c:v>
                </c:pt>
              </c:strCache>
            </c:strRef>
          </c:cat>
          <c:val>
            <c:numRef>
              <c:f>'Serie completa 2020-2026'!$J$5:$J$30</c:f>
              <c:numCache>
                <c:formatCode>0.0</c:formatCode>
                <c:ptCount val="26"/>
                <c:pt idx="0">
                  <c:v>49.1</c:v>
                </c:pt>
                <c:pt idx="1">
                  <c:v>36.8</c:v>
                </c:pt>
                <c:pt idx="2">
                  <c:v>39.9</c:v>
                </c:pt>
                <c:pt idx="3">
                  <c:v>44.7</c:v>
                </c:pt>
                <c:pt idx="4">
                  <c:v>62.5</c:v>
                </c:pt>
                <c:pt idx="5">
                  <c:v>32.5</c:v>
                </c:pt>
                <c:pt idx="6">
                  <c:v>36.2</c:v>
                </c:pt>
                <c:pt idx="7">
                  <c:v>36.4</c:v>
                </c:pt>
                <c:pt idx="8">
                  <c:v>15.1</c:v>
                </c:pt>
                <c:pt idx="9">
                  <c:v>12.1</c:v>
                </c:pt>
                <c:pt idx="10">
                  <c:v>23.8</c:v>
                </c:pt>
                <c:pt idx="11">
                  <c:v>23.7</c:v>
                </c:pt>
                <c:pt idx="12">
                  <c:v>28.9</c:v>
                </c:pt>
                <c:pt idx="13">
                  <c:v>27.6</c:v>
                </c:pt>
                <c:pt idx="14">
                  <c:v>38.9</c:v>
                </c:pt>
                <c:pt idx="15">
                  <c:v>28.7</c:v>
                </c:pt>
                <c:pt idx="16">
                  <c:v>26.8</c:v>
                </c:pt>
                <c:pt idx="17">
                  <c:v>28</c:v>
                </c:pt>
                <c:pt idx="18">
                  <c:v>41.1</c:v>
                </c:pt>
                <c:pt idx="19">
                  <c:v>33.7</c:v>
                </c:pt>
                <c:pt idx="20">
                  <c:v>39.3</c:v>
                </c:pt>
                <c:pt idx="21">
                  <c:v>46.7</c:v>
                </c:pt>
                <c:pt idx="22">
                  <c:v>49</c:v>
                </c:pt>
                <c:pt idx="23">
                  <c:v>47.6</c:v>
                </c:pt>
                <c:pt idx="24">
                  <c:v>44.9</c:v>
                </c:pt>
                <c:pt idx="25">
                  <c:v>39.4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187620"/>
        <c:axId val="33915118"/>
      </c:lineChart>
      <c:catAx>
        <c:axId val="781876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915118"/>
        <c:crosses val="autoZero"/>
        <c:auto val="1"/>
        <c:lblAlgn val="ctr"/>
        <c:lblOffset val="100"/>
        <c:noMultiLvlLbl val="0"/>
      </c:catAx>
      <c:valAx>
        <c:axId val="3391511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Índice de difusión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1876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Nuevo crédito bancario por año, 2020-2026 (promedio de trimestres, % de empresas)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'Resumen anual'!D4</c:f>
              <c:strCache>
                <c:ptCount val="1"/>
                <c:pt idx="0">
                  <c:v>Usaron nuevo crédito (promedio)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anual'!$U$5:$U$11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 (I-II)</c:v>
                </c:pt>
              </c:strCache>
            </c:strRef>
          </c:cat>
          <c:val>
            <c:numRef>
              <c:f>'Resumen anual'!$D$5:$D$11</c:f>
              <c:numCache>
                <c:formatCode>0.0</c:formatCode>
                <c:ptCount val="7"/>
                <c:pt idx="0">
                  <c:v>12.95</c:v>
                </c:pt>
                <c:pt idx="1">
                  <c:v>11.75</c:v>
                </c:pt>
                <c:pt idx="2">
                  <c:v>15.35</c:v>
                </c:pt>
                <c:pt idx="3">
                  <c:v>15.375</c:v>
                </c:pt>
                <c:pt idx="4">
                  <c:v>14.125</c:v>
                </c:pt>
                <c:pt idx="5">
                  <c:v>13.75</c:v>
                </c:pt>
                <c:pt idx="6">
                  <c:v>12.15</c:v>
                </c:pt>
              </c:numCache>
            </c:numRef>
          </c:val>
        </c:ser>
        <c:ser>
          <c:idx val="1"/>
          <c:order val="1"/>
          <c:tx>
            <c:strRef>
              <c:f>'Resumen anual'!E4</c:f>
              <c:strCache>
                <c:ptCount val="1"/>
                <c:pt idx="0">
                  <c:v>Nuevo crédito, solo IV trimestre (no acumulado)</c:v>
                </c:pt>
              </c:strCache>
            </c:strRef>
          </c:tx>
          <c:spPr>
            <a:solidFill>
              <a:srgbClr val="b4b4b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anual'!$U$5:$U$11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 (I-II)</c:v>
                </c:pt>
              </c:strCache>
            </c:strRef>
          </c:cat>
          <c:val>
            <c:numRef>
              <c:f>'Resumen anual'!$E$5:$E$11</c:f>
              <c:numCache>
                <c:formatCode>0.0</c:formatCode>
                <c:ptCount val="7"/>
                <c:pt idx="0">
                  <c:v>13.6</c:v>
                </c:pt>
                <c:pt idx="1">
                  <c:v>9</c:v>
                </c:pt>
                <c:pt idx="2">
                  <c:v>13.8</c:v>
                </c:pt>
                <c:pt idx="3">
                  <c:v>15.6</c:v>
                </c:pt>
                <c:pt idx="4">
                  <c:v>12.1</c:v>
                </c:pt>
                <c:pt idx="5">
                  <c:v>15.3</c:v>
                </c:pt>
              </c:numCache>
            </c:numRef>
          </c:val>
        </c:ser>
        <c:gapWidth val="60"/>
        <c:overlap val="0"/>
        <c:axId val="55673557"/>
        <c:axId val="24460765"/>
      </c:barChart>
      <c:catAx>
        <c:axId val="55673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460765"/>
        <c:crosses val="autoZero"/>
        <c:auto val="1"/>
        <c:lblAlgn val="ctr"/>
        <c:lblOffset val="100"/>
        <c:noMultiLvlLbl val="0"/>
      </c:catAx>
      <c:valAx>
        <c:axId val="2446076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de empresas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7355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Tasa objetivo y TIIE a 28 días, promedio anual 2020-2026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'Resumen anual'!R4</c:f>
              <c:strCache>
                <c:ptCount val="1"/>
                <c:pt idx="0">
                  <c:v>Tasa objetivo fin de trimestre (%)</c:v>
                </c:pt>
              </c:strCache>
            </c:strRef>
          </c:tx>
          <c:spPr>
            <a:solidFill>
              <a:srgbClr val="1f3a5f"/>
            </a:solidFill>
            <a:ln w="22320">
              <a:solidFill>
                <a:srgbClr val="1f3a5f"/>
              </a:solidFill>
              <a:round/>
            </a:ln>
          </c:spPr>
          <c:marker>
            <c:symbol val="circle"/>
            <c:size val="6"/>
            <c:spPr>
              <a:solidFill>
                <a:srgbClr val="1f3a5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anual'!$U$5:$U$11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 (I-II)</c:v>
                </c:pt>
              </c:strCache>
            </c:strRef>
          </c:cat>
          <c:val>
            <c:numRef>
              <c:f>'Resumen anual'!$R$5:$R$11</c:f>
              <c:numCache>
                <c:formatCode>0.00</c:formatCode>
                <c:ptCount val="7"/>
                <c:pt idx="0">
                  <c:v>5</c:v>
                </c:pt>
                <c:pt idx="1">
                  <c:v>4.625</c:v>
                </c:pt>
                <c:pt idx="2">
                  <c:v>8.5</c:v>
                </c:pt>
                <c:pt idx="3">
                  <c:v>11.25</c:v>
                </c:pt>
                <c:pt idx="4">
                  <c:v>10.625</c:v>
                </c:pt>
                <c:pt idx="5">
                  <c:v>7.875</c:v>
                </c:pt>
                <c:pt idx="6">
                  <c:v>6.5833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'Resumen anual'!S4</c:f>
              <c:strCache>
                <c:ptCount val="1"/>
                <c:pt idx="0">
                  <c:v>TIIE 28 días, promedio (%)</c:v>
                </c:pt>
              </c:strCache>
            </c:strRef>
          </c:tx>
          <c:spPr>
            <a:solidFill>
              <a:srgbClr val="eb6834"/>
            </a:solidFill>
            <a:ln w="22320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anual'!$U$5:$U$11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 (I-II)</c:v>
                </c:pt>
              </c:strCache>
            </c:strRef>
          </c:cat>
          <c:val>
            <c:numRef>
              <c:f>'Resumen anual'!$S$5:$S$11</c:f>
              <c:numCache>
                <c:formatCode>0.00</c:formatCode>
                <c:ptCount val="7"/>
                <c:pt idx="0">
                  <c:v>5.72</c:v>
                </c:pt>
                <c:pt idx="1">
                  <c:v>4.6225</c:v>
                </c:pt>
                <c:pt idx="2">
                  <c:v>7.895</c:v>
                </c:pt>
                <c:pt idx="3">
                  <c:v>11.3975</c:v>
                </c:pt>
                <c:pt idx="4">
                  <c:v>11.0975</c:v>
                </c:pt>
                <c:pt idx="5">
                  <c:v>8.685</c:v>
                </c:pt>
                <c:pt idx="6">
                  <c:v>6.9667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'Resumen anual'!T4</c:f>
              <c:strCache>
                <c:ptCount val="1"/>
                <c:pt idx="0">
                  <c:v>TIIE de fondeo, promedio (%)</c:v>
                </c:pt>
              </c:strCache>
            </c:strRef>
          </c:tx>
          <c:spPr>
            <a:solidFill>
              <a:srgbClr val="8c8c8c"/>
            </a:solidFill>
            <a:ln w="15840">
              <a:solidFill>
                <a:srgbClr val="8c8c8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anual'!$U$5:$U$11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 (I-II)</c:v>
                </c:pt>
              </c:strCache>
            </c:strRef>
          </c:cat>
          <c:val>
            <c:numRef>
              <c:f>'Resumen anual'!$T$5:$T$11</c:f>
              <c:numCache>
                <c:formatCode>0.00</c:formatCode>
                <c:ptCount val="7"/>
                <c:pt idx="0">
                  <c:v>5.495</c:v>
                </c:pt>
                <c:pt idx="1">
                  <c:v>4.39</c:v>
                </c:pt>
                <c:pt idx="2">
                  <c:v>7.64</c:v>
                </c:pt>
                <c:pt idx="3">
                  <c:v>11.1425</c:v>
                </c:pt>
                <c:pt idx="4">
                  <c:v>10.875</c:v>
                </c:pt>
                <c:pt idx="5">
                  <c:v>8.4075</c:v>
                </c:pt>
                <c:pt idx="6">
                  <c:v>6.7067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662071"/>
        <c:axId val="84893545"/>
      </c:lineChart>
      <c:catAx>
        <c:axId val="27662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893545"/>
        <c:crosses val="autoZero"/>
        <c:auto val="1"/>
        <c:lblAlgn val="ctr"/>
        <c:lblOffset val="100"/>
        <c:noMultiLvlLbl val="0"/>
      </c:catAx>
      <c:valAx>
        <c:axId val="8489354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anual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620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 crédito bancario al inicio del trimestre, por tamaño (% de empresas)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Series!O4</c:f>
              <c:strCache>
                <c:ptCount val="1"/>
                <c:pt idx="0">
                  <c:v>Con crédito — más de 100 empl.</c:v>
                </c:pt>
              </c:strCache>
            </c:strRef>
          </c:tx>
          <c:spPr>
            <a:solidFill>
              <a:srgbClr val="eb6834"/>
            </a:solidFill>
            <a:ln w="22320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5840">
                <a:solidFill>
                  <a:srgbClr val="eb6834"/>
                </a:solidFill>
                <a:prstDash val="dash"/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Series!$A$5:$A$30</c:f>
              <c:strCache>
                <c:ptCount val="26"/>
                <c:pt idx="0">
                  <c:v>I-20</c:v>
                </c:pt>
                <c:pt idx="1">
                  <c:v>II-20</c:v>
                </c:pt>
                <c:pt idx="2">
                  <c:v>III-20</c:v>
                </c:pt>
                <c:pt idx="3">
                  <c:v>IV-20</c:v>
                </c:pt>
                <c:pt idx="4">
                  <c:v>I-21</c:v>
                </c:pt>
                <c:pt idx="5">
                  <c:v>II-21</c:v>
                </c:pt>
                <c:pt idx="6">
                  <c:v>III-21</c:v>
                </c:pt>
                <c:pt idx="7">
                  <c:v>IV-21</c:v>
                </c:pt>
                <c:pt idx="8">
                  <c:v>I-22</c:v>
                </c:pt>
                <c:pt idx="9">
                  <c:v>II-22</c:v>
                </c:pt>
                <c:pt idx="10">
                  <c:v>III-22</c:v>
                </c:pt>
                <c:pt idx="11">
                  <c:v>IV-22</c:v>
                </c:pt>
                <c:pt idx="12">
                  <c:v>I-23</c:v>
                </c:pt>
                <c:pt idx="13">
                  <c:v>II-23</c:v>
                </c:pt>
                <c:pt idx="14">
                  <c:v>III-23</c:v>
                </c:pt>
                <c:pt idx="15">
                  <c:v>IV-23</c:v>
                </c:pt>
                <c:pt idx="16">
                  <c:v>I-24</c:v>
                </c:pt>
                <c:pt idx="17">
                  <c:v>II-24</c:v>
                </c:pt>
                <c:pt idx="18">
                  <c:v>III-24</c:v>
                </c:pt>
                <c:pt idx="19">
                  <c:v>IV-24</c:v>
                </c:pt>
                <c:pt idx="20">
                  <c:v>I-25</c:v>
                </c:pt>
                <c:pt idx="21">
                  <c:v>II-25</c:v>
                </c:pt>
                <c:pt idx="22">
                  <c:v>III-25</c:v>
                </c:pt>
                <c:pt idx="23">
                  <c:v>IV-25</c:v>
                </c:pt>
                <c:pt idx="24">
                  <c:v>I-26</c:v>
                </c:pt>
                <c:pt idx="25">
                  <c:v>II-26</c:v>
                </c:pt>
              </c:strCache>
            </c:strRef>
          </c:cat>
          <c:val>
            <c:numRef>
              <c:f>Series!$O$5:$O$30</c:f>
              <c:numCache>
                <c:formatCode>0.0</c:formatCode>
                <c:ptCount val="26"/>
                <c:pt idx="0">
                  <c:v>54.1</c:v>
                </c:pt>
                <c:pt idx="1">
                  <c:v>56.4</c:v>
                </c:pt>
                <c:pt idx="2">
                  <c:v>54.3</c:v>
                </c:pt>
                <c:pt idx="3">
                  <c:v>46.9</c:v>
                </c:pt>
                <c:pt idx="4">
                  <c:v>51.9</c:v>
                </c:pt>
                <c:pt idx="5">
                  <c:v>48.6</c:v>
                </c:pt>
                <c:pt idx="6">
                  <c:v>52.1</c:v>
                </c:pt>
                <c:pt idx="7">
                  <c:v>54.4</c:v>
                </c:pt>
                <c:pt idx="8">
                  <c:v>47.8</c:v>
                </c:pt>
                <c:pt idx="9">
                  <c:v>51.8</c:v>
                </c:pt>
                <c:pt idx="10">
                  <c:v>45.1</c:v>
                </c:pt>
                <c:pt idx="11">
                  <c:v>38.9</c:v>
                </c:pt>
                <c:pt idx="12">
                  <c:v>44.8</c:v>
                </c:pt>
                <c:pt idx="13">
                  <c:v>43.4</c:v>
                </c:pt>
                <c:pt idx="14">
                  <c:v>42.4</c:v>
                </c:pt>
                <c:pt idx="15">
                  <c:v>44.3</c:v>
                </c:pt>
                <c:pt idx="16">
                  <c:v>46.5</c:v>
                </c:pt>
                <c:pt idx="17">
                  <c:v>46.2</c:v>
                </c:pt>
                <c:pt idx="18">
                  <c:v>47.5</c:v>
                </c:pt>
                <c:pt idx="19">
                  <c:v>48</c:v>
                </c:pt>
                <c:pt idx="20">
                  <c:v>45.9</c:v>
                </c:pt>
                <c:pt idx="21">
                  <c:v>46</c:v>
                </c:pt>
                <c:pt idx="22">
                  <c:v>45.5</c:v>
                </c:pt>
                <c:pt idx="23">
                  <c:v>48</c:v>
                </c:pt>
                <c:pt idx="24">
                  <c:v>46.5</c:v>
                </c:pt>
                <c:pt idx="25">
                  <c:v>49.7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Series!N4</c:f>
              <c:strCache>
                <c:ptCount val="1"/>
                <c:pt idx="0">
                  <c:v>Con crédito — hasta 100 empl.</c:v>
                </c:pt>
              </c:strCache>
            </c:strRef>
          </c:tx>
          <c:spPr>
            <a:solidFill>
              <a:srgbClr val="2a78d6"/>
            </a:solidFill>
            <a:ln w="2232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5840">
                <a:solidFill>
                  <a:srgbClr val="2a78d6"/>
                </a:solidFill>
                <a:prstDash val="dash"/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Series!$A$5:$A$30</c:f>
              <c:strCache>
                <c:ptCount val="26"/>
                <c:pt idx="0">
                  <c:v>I-20</c:v>
                </c:pt>
                <c:pt idx="1">
                  <c:v>II-20</c:v>
                </c:pt>
                <c:pt idx="2">
                  <c:v>III-20</c:v>
                </c:pt>
                <c:pt idx="3">
                  <c:v>IV-20</c:v>
                </c:pt>
                <c:pt idx="4">
                  <c:v>I-21</c:v>
                </c:pt>
                <c:pt idx="5">
                  <c:v>II-21</c:v>
                </c:pt>
                <c:pt idx="6">
                  <c:v>III-21</c:v>
                </c:pt>
                <c:pt idx="7">
                  <c:v>IV-21</c:v>
                </c:pt>
                <c:pt idx="8">
                  <c:v>I-22</c:v>
                </c:pt>
                <c:pt idx="9">
                  <c:v>II-22</c:v>
                </c:pt>
                <c:pt idx="10">
                  <c:v>III-22</c:v>
                </c:pt>
                <c:pt idx="11">
                  <c:v>IV-22</c:v>
                </c:pt>
                <c:pt idx="12">
                  <c:v>I-23</c:v>
                </c:pt>
                <c:pt idx="13">
                  <c:v>II-23</c:v>
                </c:pt>
                <c:pt idx="14">
                  <c:v>III-23</c:v>
                </c:pt>
                <c:pt idx="15">
                  <c:v>IV-23</c:v>
                </c:pt>
                <c:pt idx="16">
                  <c:v>I-24</c:v>
                </c:pt>
                <c:pt idx="17">
                  <c:v>II-24</c:v>
                </c:pt>
                <c:pt idx="18">
                  <c:v>III-24</c:v>
                </c:pt>
                <c:pt idx="19">
                  <c:v>IV-24</c:v>
                </c:pt>
                <c:pt idx="20">
                  <c:v>I-25</c:v>
                </c:pt>
                <c:pt idx="21">
                  <c:v>II-25</c:v>
                </c:pt>
                <c:pt idx="22">
                  <c:v>III-25</c:v>
                </c:pt>
                <c:pt idx="23">
                  <c:v>IV-25</c:v>
                </c:pt>
                <c:pt idx="24">
                  <c:v>I-26</c:v>
                </c:pt>
                <c:pt idx="25">
                  <c:v>II-26</c:v>
                </c:pt>
              </c:strCache>
            </c:strRef>
          </c:cat>
          <c:val>
            <c:numRef>
              <c:f>Series!$N$5:$N$30</c:f>
              <c:numCache>
                <c:formatCode>0.0</c:formatCode>
                <c:ptCount val="26"/>
                <c:pt idx="0">
                  <c:v>37.5</c:v>
                </c:pt>
                <c:pt idx="1">
                  <c:v>34.8</c:v>
                </c:pt>
                <c:pt idx="2">
                  <c:v>34.6</c:v>
                </c:pt>
                <c:pt idx="3">
                  <c:v>38.7</c:v>
                </c:pt>
                <c:pt idx="4">
                  <c:v>37.5</c:v>
                </c:pt>
                <c:pt idx="5">
                  <c:v>35</c:v>
                </c:pt>
                <c:pt idx="6">
                  <c:v>35.6</c:v>
                </c:pt>
                <c:pt idx="7">
                  <c:v>35.3</c:v>
                </c:pt>
                <c:pt idx="8">
                  <c:v>41.1</c:v>
                </c:pt>
                <c:pt idx="9">
                  <c:v>38.7</c:v>
                </c:pt>
                <c:pt idx="10">
                  <c:v>37</c:v>
                </c:pt>
                <c:pt idx="11">
                  <c:v>36.9</c:v>
                </c:pt>
                <c:pt idx="12">
                  <c:v>35.7</c:v>
                </c:pt>
                <c:pt idx="13">
                  <c:v>36.6</c:v>
                </c:pt>
                <c:pt idx="14">
                  <c:v>35.5</c:v>
                </c:pt>
                <c:pt idx="15">
                  <c:v>40.1</c:v>
                </c:pt>
                <c:pt idx="16">
                  <c:v>38.6</c:v>
                </c:pt>
                <c:pt idx="17">
                  <c:v>39.3</c:v>
                </c:pt>
                <c:pt idx="18">
                  <c:v>38.9</c:v>
                </c:pt>
                <c:pt idx="19">
                  <c:v>34.8</c:v>
                </c:pt>
                <c:pt idx="20">
                  <c:v>36.3</c:v>
                </c:pt>
                <c:pt idx="21">
                  <c:v>34.5</c:v>
                </c:pt>
                <c:pt idx="22">
                  <c:v>36.6</c:v>
                </c:pt>
                <c:pt idx="23">
                  <c:v>37.1</c:v>
                </c:pt>
                <c:pt idx="24">
                  <c:v>35.8</c:v>
                </c:pt>
                <c:pt idx="25">
                  <c:v>35.7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559144"/>
        <c:axId val="8663492"/>
      </c:lineChart>
      <c:catAx>
        <c:axId val="45559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63492"/>
        <c:crosses val="autoZero"/>
        <c:auto val="1"/>
        <c:lblAlgn val="ctr"/>
        <c:lblOffset val="100"/>
        <c:noMultiLvlLbl val="0"/>
      </c:catAx>
      <c:valAx>
        <c:axId val="86634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de empresas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5591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Usaron nuevo crédito bancario, por tamaño (% de empresas; trimestres con dato)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Series!R4</c:f>
              <c:strCache>
                <c:ptCount val="1"/>
                <c:pt idx="0">
                  <c:v>Nuevo crédito — más de 100 empl.</c:v>
                </c:pt>
              </c:strCache>
            </c:strRef>
          </c:tx>
          <c:spPr>
            <a:solidFill>
              <a:srgbClr val="eb6834"/>
            </a:solidFill>
            <a:ln w="22320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5840">
                <a:solidFill>
                  <a:srgbClr val="eb6834"/>
                </a:solidFill>
                <a:prstDash val="dash"/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Series!$A$5:$A$30</c:f>
              <c:strCache>
                <c:ptCount val="26"/>
                <c:pt idx="0">
                  <c:v>I-20</c:v>
                </c:pt>
                <c:pt idx="1">
                  <c:v>II-20</c:v>
                </c:pt>
                <c:pt idx="2">
                  <c:v>III-20</c:v>
                </c:pt>
                <c:pt idx="3">
                  <c:v>IV-20</c:v>
                </c:pt>
                <c:pt idx="4">
                  <c:v>I-21</c:v>
                </c:pt>
                <c:pt idx="5">
                  <c:v>II-21</c:v>
                </c:pt>
                <c:pt idx="6">
                  <c:v>III-21</c:v>
                </c:pt>
                <c:pt idx="7">
                  <c:v>IV-21</c:v>
                </c:pt>
                <c:pt idx="8">
                  <c:v>I-22</c:v>
                </c:pt>
                <c:pt idx="9">
                  <c:v>II-22</c:v>
                </c:pt>
                <c:pt idx="10">
                  <c:v>III-22</c:v>
                </c:pt>
                <c:pt idx="11">
                  <c:v>IV-22</c:v>
                </c:pt>
                <c:pt idx="12">
                  <c:v>I-23</c:v>
                </c:pt>
                <c:pt idx="13">
                  <c:v>II-23</c:v>
                </c:pt>
                <c:pt idx="14">
                  <c:v>III-23</c:v>
                </c:pt>
                <c:pt idx="15">
                  <c:v>IV-23</c:v>
                </c:pt>
                <c:pt idx="16">
                  <c:v>I-24</c:v>
                </c:pt>
                <c:pt idx="17">
                  <c:v>II-24</c:v>
                </c:pt>
                <c:pt idx="18">
                  <c:v>III-24</c:v>
                </c:pt>
                <c:pt idx="19">
                  <c:v>IV-24</c:v>
                </c:pt>
                <c:pt idx="20">
                  <c:v>I-25</c:v>
                </c:pt>
                <c:pt idx="21">
                  <c:v>II-25</c:v>
                </c:pt>
                <c:pt idx="22">
                  <c:v>III-25</c:v>
                </c:pt>
                <c:pt idx="23">
                  <c:v>IV-25</c:v>
                </c:pt>
                <c:pt idx="24">
                  <c:v>I-26</c:v>
                </c:pt>
                <c:pt idx="25">
                  <c:v>II-26</c:v>
                </c:pt>
              </c:strCache>
            </c:strRef>
          </c:cat>
          <c:val>
            <c:numRef>
              <c:f>Series!$R$5:$R$30</c:f>
              <c:numCache>
                <c:formatCode>0.0</c:formatCode>
                <c:ptCount val="26"/>
                <c:pt idx="0">
                  <c:v>31.6</c:v>
                </c:pt>
                <c:pt idx="1">
                  <c:v>30.6</c:v>
                </c:pt>
                <c:pt idx="3">
                  <c:v>19.8</c:v>
                </c:pt>
                <c:pt idx="4">
                  <c:v>25.1</c:v>
                </c:pt>
                <c:pt idx="5">
                  <c:v>22.9</c:v>
                </c:pt>
                <c:pt idx="7">
                  <c:v>23</c:v>
                </c:pt>
                <c:pt idx="8">
                  <c:v>24</c:v>
                </c:pt>
                <c:pt idx="9">
                  <c:v>24.6</c:v>
                </c:pt>
                <c:pt idx="11">
                  <c:v>20.5</c:v>
                </c:pt>
                <c:pt idx="12">
                  <c:v>19.9</c:v>
                </c:pt>
                <c:pt idx="13">
                  <c:v>21.6</c:v>
                </c:pt>
                <c:pt idx="15">
                  <c:v>18.6</c:v>
                </c:pt>
                <c:pt idx="16">
                  <c:v>20.2</c:v>
                </c:pt>
                <c:pt idx="17">
                  <c:v>22.2</c:v>
                </c:pt>
                <c:pt idx="19">
                  <c:v>21.4</c:v>
                </c:pt>
                <c:pt idx="20">
                  <c:v>23.6</c:v>
                </c:pt>
                <c:pt idx="21">
                  <c:v>21.4</c:v>
                </c:pt>
                <c:pt idx="23">
                  <c:v>22.2</c:v>
                </c:pt>
                <c:pt idx="24">
                  <c:v>20.4</c:v>
                </c:pt>
                <c:pt idx="25">
                  <c:v>21.6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Series!Q4</c:f>
              <c:strCache>
                <c:ptCount val="1"/>
                <c:pt idx="0">
                  <c:v>Nuevo crédito — hasta 100 empl.</c:v>
                </c:pt>
              </c:strCache>
            </c:strRef>
          </c:tx>
          <c:spPr>
            <a:solidFill>
              <a:srgbClr val="2a78d6"/>
            </a:solidFill>
            <a:ln w="2232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5840">
                <a:solidFill>
                  <a:srgbClr val="2a78d6"/>
                </a:solidFill>
                <a:prstDash val="dash"/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Series!$A$5:$A$30</c:f>
              <c:strCache>
                <c:ptCount val="26"/>
                <c:pt idx="0">
                  <c:v>I-20</c:v>
                </c:pt>
                <c:pt idx="1">
                  <c:v>II-20</c:v>
                </c:pt>
                <c:pt idx="2">
                  <c:v>III-20</c:v>
                </c:pt>
                <c:pt idx="3">
                  <c:v>IV-20</c:v>
                </c:pt>
                <c:pt idx="4">
                  <c:v>I-21</c:v>
                </c:pt>
                <c:pt idx="5">
                  <c:v>II-21</c:v>
                </c:pt>
                <c:pt idx="6">
                  <c:v>III-21</c:v>
                </c:pt>
                <c:pt idx="7">
                  <c:v>IV-21</c:v>
                </c:pt>
                <c:pt idx="8">
                  <c:v>I-22</c:v>
                </c:pt>
                <c:pt idx="9">
                  <c:v>II-22</c:v>
                </c:pt>
                <c:pt idx="10">
                  <c:v>III-22</c:v>
                </c:pt>
                <c:pt idx="11">
                  <c:v>IV-22</c:v>
                </c:pt>
                <c:pt idx="12">
                  <c:v>I-23</c:v>
                </c:pt>
                <c:pt idx="13">
                  <c:v>II-23</c:v>
                </c:pt>
                <c:pt idx="14">
                  <c:v>III-23</c:v>
                </c:pt>
                <c:pt idx="15">
                  <c:v>IV-23</c:v>
                </c:pt>
                <c:pt idx="16">
                  <c:v>I-24</c:v>
                </c:pt>
                <c:pt idx="17">
                  <c:v>II-24</c:v>
                </c:pt>
                <c:pt idx="18">
                  <c:v>III-24</c:v>
                </c:pt>
                <c:pt idx="19">
                  <c:v>IV-24</c:v>
                </c:pt>
                <c:pt idx="20">
                  <c:v>I-25</c:v>
                </c:pt>
                <c:pt idx="21">
                  <c:v>II-25</c:v>
                </c:pt>
                <c:pt idx="22">
                  <c:v>III-25</c:v>
                </c:pt>
                <c:pt idx="23">
                  <c:v>IV-25</c:v>
                </c:pt>
                <c:pt idx="24">
                  <c:v>I-26</c:v>
                </c:pt>
                <c:pt idx="25">
                  <c:v>II-26</c:v>
                </c:pt>
              </c:strCache>
            </c:strRef>
          </c:cat>
          <c:val>
            <c:numRef>
              <c:f>Series!$Q$5:$Q$30</c:f>
              <c:numCache>
                <c:formatCode>0.0</c:formatCode>
                <c:ptCount val="26"/>
                <c:pt idx="0">
                  <c:v>12.6</c:v>
                </c:pt>
                <c:pt idx="1">
                  <c:v>8</c:v>
                </c:pt>
                <c:pt idx="3">
                  <c:v>12.8</c:v>
                </c:pt>
                <c:pt idx="4">
                  <c:v>14.3</c:v>
                </c:pt>
                <c:pt idx="5">
                  <c:v>9.5</c:v>
                </c:pt>
                <c:pt idx="7">
                  <c:v>7.2</c:v>
                </c:pt>
                <c:pt idx="8">
                  <c:v>14.1</c:v>
                </c:pt>
                <c:pt idx="9">
                  <c:v>14.7</c:v>
                </c:pt>
                <c:pt idx="11">
                  <c:v>13</c:v>
                </c:pt>
                <c:pt idx="12">
                  <c:v>15.3</c:v>
                </c:pt>
                <c:pt idx="13">
                  <c:v>14</c:v>
                </c:pt>
                <c:pt idx="15">
                  <c:v>15.3</c:v>
                </c:pt>
                <c:pt idx="16">
                  <c:v>16.3</c:v>
                </c:pt>
                <c:pt idx="17">
                  <c:v>11.2</c:v>
                </c:pt>
                <c:pt idx="19">
                  <c:v>10.9</c:v>
                </c:pt>
                <c:pt idx="20">
                  <c:v>12</c:v>
                </c:pt>
                <c:pt idx="21">
                  <c:v>14.1</c:v>
                </c:pt>
                <c:pt idx="23">
                  <c:v>14.5</c:v>
                </c:pt>
                <c:pt idx="24">
                  <c:v>12.1</c:v>
                </c:pt>
                <c:pt idx="25">
                  <c:v>9.9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282674"/>
        <c:axId val="64935337"/>
      </c:lineChart>
      <c:catAx>
        <c:axId val="302826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935337"/>
        <c:crosses val="autoZero"/>
        <c:auto val="1"/>
        <c:lblAlgn val="ctr"/>
        <c:lblOffset val="100"/>
        <c:noMultiLvlLbl val="0"/>
      </c:catAx>
      <c:valAx>
        <c:axId val="6493533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de empresas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2826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span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Brecha por tamaño por año: más de 100 menos hasta 100 empleados (pp)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'Por tamaño'!D36</c:f>
              <c:strCache>
                <c:ptCount val="1"/>
                <c:pt idx="0">
                  <c:v>Brecha con crédito (pp)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 tamaño'!$A$37:$A$43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</c:strCache>
            </c:strRef>
          </c:cat>
          <c:val>
            <c:numRef>
              <c:f>'Por tamaño'!$D$37:$D$43</c:f>
              <c:numCache>
                <c:formatCode>0.0</c:formatCode>
                <c:ptCount val="7"/>
                <c:pt idx="0">
                  <c:v>16.525</c:v>
                </c:pt>
                <c:pt idx="1">
                  <c:v>15.9</c:v>
                </c:pt>
                <c:pt idx="2">
                  <c:v>7.475</c:v>
                </c:pt>
                <c:pt idx="3">
                  <c:v>6.75</c:v>
                </c:pt>
                <c:pt idx="4">
                  <c:v>9.15</c:v>
                </c:pt>
                <c:pt idx="5">
                  <c:v>10.225</c:v>
                </c:pt>
                <c:pt idx="6">
                  <c:v>12.35</c:v>
                </c:pt>
              </c:numCache>
            </c:numRef>
          </c:val>
        </c:ser>
        <c:ser>
          <c:idx val="1"/>
          <c:order val="1"/>
          <c:tx>
            <c:strRef>
              <c:f>'Por tamaño'!G36</c:f>
              <c:strCache>
                <c:ptCount val="1"/>
                <c:pt idx="0">
                  <c:v>Brecha nuevo crédito (pp)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'Por tamaño'!$A$37:$A$43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</c:strCache>
            </c:strRef>
          </c:cat>
          <c:val>
            <c:numRef>
              <c:f>'Por tamaño'!$G$37:$G$43</c:f>
              <c:numCache>
                <c:formatCode>0.0</c:formatCode>
                <c:ptCount val="7"/>
                <c:pt idx="0">
                  <c:v>16.2</c:v>
                </c:pt>
                <c:pt idx="1">
                  <c:v>13.333</c:v>
                </c:pt>
                <c:pt idx="2">
                  <c:v>9.1</c:v>
                </c:pt>
                <c:pt idx="3">
                  <c:v>5.167</c:v>
                </c:pt>
                <c:pt idx="4">
                  <c:v>8.467</c:v>
                </c:pt>
                <c:pt idx="5">
                  <c:v>8.867</c:v>
                </c:pt>
                <c:pt idx="6">
                  <c:v>10</c:v>
                </c:pt>
              </c:numCache>
            </c:numRef>
          </c:val>
        </c:ser>
        <c:gapWidth val="60"/>
        <c:overlap val="0"/>
        <c:axId val="46357395"/>
        <c:axId val="39861471"/>
      </c:barChart>
      <c:catAx>
        <c:axId val="463573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861471"/>
        <c:crosses val="autoZero"/>
        <c:auto val="1"/>
        <c:lblAlgn val="ctr"/>
        <c:lblOffset val="100"/>
        <c:noMultiLvlLbl val="0"/>
      </c:catAx>
      <c:valAx>
        <c:axId val="3986147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 porcentuales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3573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Tasa de rechazo de solicitudes de crédito bancario, I-2020 a II-2026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Series!$A$5:$A$30</c:f>
              <c:strCache>
                <c:ptCount val="26"/>
                <c:pt idx="0">
                  <c:v>I-20</c:v>
                </c:pt>
                <c:pt idx="1">
                  <c:v>II-20</c:v>
                </c:pt>
                <c:pt idx="2">
                  <c:v>III-20</c:v>
                </c:pt>
                <c:pt idx="3">
                  <c:v>IV-20</c:v>
                </c:pt>
                <c:pt idx="4">
                  <c:v>I-21</c:v>
                </c:pt>
                <c:pt idx="5">
                  <c:v>II-21</c:v>
                </c:pt>
                <c:pt idx="6">
                  <c:v>III-21</c:v>
                </c:pt>
                <c:pt idx="7">
                  <c:v>IV-21</c:v>
                </c:pt>
                <c:pt idx="8">
                  <c:v>I-22</c:v>
                </c:pt>
                <c:pt idx="9">
                  <c:v>II-22</c:v>
                </c:pt>
                <c:pt idx="10">
                  <c:v>III-22</c:v>
                </c:pt>
                <c:pt idx="11">
                  <c:v>IV-22</c:v>
                </c:pt>
                <c:pt idx="12">
                  <c:v>I-23</c:v>
                </c:pt>
                <c:pt idx="13">
                  <c:v>II-23</c:v>
                </c:pt>
                <c:pt idx="14">
                  <c:v>III-23</c:v>
                </c:pt>
                <c:pt idx="15">
                  <c:v>IV-23</c:v>
                </c:pt>
                <c:pt idx="16">
                  <c:v>I-24</c:v>
                </c:pt>
                <c:pt idx="17">
                  <c:v>II-24</c:v>
                </c:pt>
                <c:pt idx="18">
                  <c:v>III-24</c:v>
                </c:pt>
                <c:pt idx="19">
                  <c:v>IV-24</c:v>
                </c:pt>
                <c:pt idx="20">
                  <c:v>I-25</c:v>
                </c:pt>
                <c:pt idx="21">
                  <c:v>II-25</c:v>
                </c:pt>
                <c:pt idx="22">
                  <c:v>III-25</c:v>
                </c:pt>
                <c:pt idx="23">
                  <c:v>IV-25</c:v>
                </c:pt>
                <c:pt idx="24">
                  <c:v>I-26</c:v>
                </c:pt>
                <c:pt idx="25">
                  <c:v>II-26</c:v>
                </c:pt>
              </c:strCache>
            </c:strRef>
          </c:cat>
          <c:val>
            <c:numRef>
              <c:f>Series!$AG$5:$AG$30</c:f>
              <c:numCache>
                <c:formatCode>0.0%</c:formatCode>
                <c:ptCount val="26"/>
                <c:pt idx="0">
                  <c:v>0.168539325842697</c:v>
                </c:pt>
                <c:pt idx="1">
                  <c:v>0.258741258741259</c:v>
                </c:pt>
                <c:pt idx="2">
                  <c:v>0.2</c:v>
                </c:pt>
                <c:pt idx="3">
                  <c:v>0.0810810810810811</c:v>
                </c:pt>
                <c:pt idx="4">
                  <c:v>0.0988372093023256</c:v>
                </c:pt>
                <c:pt idx="5">
                  <c:v>0.281045751633987</c:v>
                </c:pt>
                <c:pt idx="6">
                  <c:v>0.319526627218935</c:v>
                </c:pt>
                <c:pt idx="7">
                  <c:v>0.256198347107438</c:v>
                </c:pt>
                <c:pt idx="8">
                  <c:v>0.126436781609195</c:v>
                </c:pt>
                <c:pt idx="9">
                  <c:v>0.0914285714285714</c:v>
                </c:pt>
                <c:pt idx="10">
                  <c:v>0.0782122905027933</c:v>
                </c:pt>
                <c:pt idx="11">
                  <c:v>0.202312138728324</c:v>
                </c:pt>
                <c:pt idx="12">
                  <c:v>0.111731843575419</c:v>
                </c:pt>
                <c:pt idx="13">
                  <c:v>0.038961038961039</c:v>
                </c:pt>
                <c:pt idx="14">
                  <c:v>0.0787878787878788</c:v>
                </c:pt>
                <c:pt idx="15">
                  <c:v>0.0602409638554217</c:v>
                </c:pt>
                <c:pt idx="16">
                  <c:v>0.087431693989071</c:v>
                </c:pt>
                <c:pt idx="17">
                  <c:v>0.0384615384615385</c:v>
                </c:pt>
                <c:pt idx="18">
                  <c:v>0.0559006211180124</c:v>
                </c:pt>
                <c:pt idx="19">
                  <c:v>0.0970149253731343</c:v>
                </c:pt>
                <c:pt idx="20">
                  <c:v>0.0699300699300699</c:v>
                </c:pt>
                <c:pt idx="21">
                  <c:v>0.0509554140127389</c:v>
                </c:pt>
                <c:pt idx="22">
                  <c:v>0.1015625</c:v>
                </c:pt>
                <c:pt idx="23">
                  <c:v>0.0316455696202532</c:v>
                </c:pt>
                <c:pt idx="24">
                  <c:v>0.224852071005917</c:v>
                </c:pt>
                <c:pt idx="25">
                  <c:v>0.243243243243243</c:v>
                </c:pt>
              </c:numCache>
            </c:numRef>
          </c:val>
        </c:ser>
        <c:gapWidth val="60"/>
        <c:overlap val="0"/>
        <c:axId val="6826329"/>
        <c:axId val="230543"/>
      </c:barChart>
      <c:catAx>
        <c:axId val="68263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0543"/>
        <c:crosses val="autoZero"/>
        <c:auto val="1"/>
        <c:lblAlgn val="ctr"/>
        <c:lblOffset val="100"/>
        <c:noMultiLvlLbl val="0"/>
      </c:catAx>
      <c:valAx>
        <c:axId val="23054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de solicitudes resueltas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263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Tasa de rechazo en el II trimestre de cada año: pymes vs grandes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'Rechazo y costo'!B47</c:f>
              <c:strCache>
                <c:ptCount val="1"/>
                <c:pt idx="0">
                  <c:v>Rechazo — pymes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'Rechazo y costo'!$A$48:$A$54</c:f>
              <c:strCache>
                <c:ptCount val="7"/>
                <c:pt idx="0">
                  <c:v>II-20</c:v>
                </c:pt>
                <c:pt idx="1">
                  <c:v>II-21</c:v>
                </c:pt>
                <c:pt idx="2">
                  <c:v>II-22</c:v>
                </c:pt>
                <c:pt idx="3">
                  <c:v>II-23</c:v>
                </c:pt>
                <c:pt idx="4">
                  <c:v>II-24</c:v>
                </c:pt>
                <c:pt idx="5">
                  <c:v>II-25</c:v>
                </c:pt>
                <c:pt idx="6">
                  <c:v>II-26</c:v>
                </c:pt>
              </c:strCache>
            </c:strRef>
          </c:cat>
          <c:val>
            <c:numRef>
              <c:f>'Rechazo y costo'!$B$48:$B$54</c:f>
              <c:numCache>
                <c:formatCode>0.0%</c:formatCode>
                <c:ptCount val="7"/>
                <c:pt idx="0">
                  <c:v>0.333333333333333</c:v>
                </c:pt>
                <c:pt idx="1">
                  <c:v>0.326241134751773</c:v>
                </c:pt>
                <c:pt idx="2">
                  <c:v>0.0925925925925926</c:v>
                </c:pt>
                <c:pt idx="3">
                  <c:v>0.0410958904109589</c:v>
                </c:pt>
                <c:pt idx="4">
                  <c:v>0.0427350427350427</c:v>
                </c:pt>
                <c:pt idx="5">
                  <c:v>0.0472972972972973</c:v>
                </c:pt>
                <c:pt idx="6">
                  <c:v>0.282608695652174</c:v>
                </c:pt>
              </c:numCache>
            </c:numRef>
          </c:val>
        </c:ser>
        <c:ser>
          <c:idx val="1"/>
          <c:order val="1"/>
          <c:tx>
            <c:strRef>
              <c:f>'Rechazo y costo'!C47</c:f>
              <c:strCache>
                <c:ptCount val="1"/>
                <c:pt idx="0">
                  <c:v>Rechazo — grandes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'Rechazo y costo'!$A$48:$A$54</c:f>
              <c:strCache>
                <c:ptCount val="7"/>
                <c:pt idx="0">
                  <c:v>II-20</c:v>
                </c:pt>
                <c:pt idx="1">
                  <c:v>II-21</c:v>
                </c:pt>
                <c:pt idx="2">
                  <c:v>II-22</c:v>
                </c:pt>
                <c:pt idx="3">
                  <c:v>II-23</c:v>
                </c:pt>
                <c:pt idx="4">
                  <c:v>II-24</c:v>
                </c:pt>
                <c:pt idx="5">
                  <c:v>II-25</c:v>
                </c:pt>
                <c:pt idx="6">
                  <c:v>II-26</c:v>
                </c:pt>
              </c:strCache>
            </c:strRef>
          </c:cat>
          <c:val>
            <c:numRef>
              <c:f>'Rechazo y costo'!$C$48:$C$54</c:f>
              <c:numCache>
                <c:formatCode>0.0%</c:formatCode>
                <c:ptCount val="7"/>
                <c:pt idx="0">
                  <c:v>0.0285714285714286</c:v>
                </c:pt>
                <c:pt idx="1">
                  <c:v>0.084</c:v>
                </c:pt>
                <c:pt idx="2">
                  <c:v>0.0716981132075472</c:v>
                </c:pt>
                <c:pt idx="3">
                  <c:v>0.0136986301369863</c:v>
                </c:pt>
                <c:pt idx="4">
                  <c:v>0.0305676855895197</c:v>
                </c:pt>
                <c:pt idx="5">
                  <c:v>0.0735930735930736</c:v>
                </c:pt>
                <c:pt idx="6">
                  <c:v>0.031390134529148</c:v>
                </c:pt>
              </c:numCache>
            </c:numRef>
          </c:val>
        </c:ser>
        <c:gapWidth val="60"/>
        <c:overlap val="0"/>
        <c:axId val="81287633"/>
        <c:axId val="33999429"/>
      </c:barChart>
      <c:catAx>
        <c:axId val="812876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999429"/>
        <c:crosses val="autoZero"/>
        <c:auto val="1"/>
        <c:lblAlgn val="ctr"/>
        <c:lblOffset val="100"/>
        <c:noMultiLvlLbl val="0"/>
      </c:catAx>
      <c:valAx>
        <c:axId val="339994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de solicitudes resueltas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28763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Índice de costo (tasas de interés), I-2020 a II-2026 — 50 = sin cambio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'Rechazo y costo'!G5</c:f>
              <c:strCache>
                <c:ptCount val="1"/>
                <c:pt idx="0">
                  <c:v>ID tasas — total</c:v>
                </c:pt>
              </c:strCache>
            </c:strRef>
          </c:tx>
          <c:spPr>
            <a:solidFill>
              <a:srgbClr val="eb6834"/>
            </a:solidFill>
            <a:ln w="22320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5840">
                <a:solidFill>
                  <a:srgbClr val="eb6834"/>
                </a:solidFill>
                <a:prstDash val="dash"/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'Rechazo y costo'!$A$6:$A$31</c:f>
              <c:strCache>
                <c:ptCount val="26"/>
                <c:pt idx="0">
                  <c:v>I-20</c:v>
                </c:pt>
                <c:pt idx="1">
                  <c:v>II-20</c:v>
                </c:pt>
                <c:pt idx="2">
                  <c:v>III-20</c:v>
                </c:pt>
                <c:pt idx="3">
                  <c:v>IV-20</c:v>
                </c:pt>
                <c:pt idx="4">
                  <c:v>I-21</c:v>
                </c:pt>
                <c:pt idx="5">
                  <c:v>II-21</c:v>
                </c:pt>
                <c:pt idx="6">
                  <c:v>III-21</c:v>
                </c:pt>
                <c:pt idx="7">
                  <c:v>IV-21</c:v>
                </c:pt>
                <c:pt idx="8">
                  <c:v>I-22</c:v>
                </c:pt>
                <c:pt idx="9">
                  <c:v>II-22</c:v>
                </c:pt>
                <c:pt idx="10">
                  <c:v>III-22</c:v>
                </c:pt>
                <c:pt idx="11">
                  <c:v>IV-22</c:v>
                </c:pt>
                <c:pt idx="12">
                  <c:v>I-23</c:v>
                </c:pt>
                <c:pt idx="13">
                  <c:v>II-23</c:v>
                </c:pt>
                <c:pt idx="14">
                  <c:v>III-23</c:v>
                </c:pt>
                <c:pt idx="15">
                  <c:v>IV-23</c:v>
                </c:pt>
                <c:pt idx="16">
                  <c:v>I-24</c:v>
                </c:pt>
                <c:pt idx="17">
                  <c:v>II-24</c:v>
                </c:pt>
                <c:pt idx="18">
                  <c:v>III-24</c:v>
                </c:pt>
                <c:pt idx="19">
                  <c:v>IV-24</c:v>
                </c:pt>
                <c:pt idx="20">
                  <c:v>I-25</c:v>
                </c:pt>
                <c:pt idx="21">
                  <c:v>II-25</c:v>
                </c:pt>
                <c:pt idx="22">
                  <c:v>III-25</c:v>
                </c:pt>
                <c:pt idx="23">
                  <c:v>IV-25</c:v>
                </c:pt>
                <c:pt idx="24">
                  <c:v>I-26</c:v>
                </c:pt>
                <c:pt idx="25">
                  <c:v>II-26</c:v>
                </c:pt>
              </c:strCache>
            </c:strRef>
          </c:cat>
          <c:val>
            <c:numRef>
              <c:f>'Rechazo y costo'!$G$6:$G$31</c:f>
              <c:numCache>
                <c:formatCode>0.0</c:formatCode>
                <c:ptCount val="26"/>
                <c:pt idx="0">
                  <c:v>49.1</c:v>
                </c:pt>
                <c:pt idx="1">
                  <c:v>36.8</c:v>
                </c:pt>
                <c:pt idx="2">
                  <c:v>39.9</c:v>
                </c:pt>
                <c:pt idx="3">
                  <c:v>44.7</c:v>
                </c:pt>
                <c:pt idx="4">
                  <c:v>62.5</c:v>
                </c:pt>
                <c:pt idx="5">
                  <c:v>32.5</c:v>
                </c:pt>
                <c:pt idx="6">
                  <c:v>36.2</c:v>
                </c:pt>
                <c:pt idx="7">
                  <c:v>36.4</c:v>
                </c:pt>
                <c:pt idx="8">
                  <c:v>15.1</c:v>
                </c:pt>
                <c:pt idx="9">
                  <c:v>12.1</c:v>
                </c:pt>
                <c:pt idx="10">
                  <c:v>23.8</c:v>
                </c:pt>
                <c:pt idx="11">
                  <c:v>23.7</c:v>
                </c:pt>
                <c:pt idx="12">
                  <c:v>28.9</c:v>
                </c:pt>
                <c:pt idx="13">
                  <c:v>27.6</c:v>
                </c:pt>
                <c:pt idx="14">
                  <c:v>38.9</c:v>
                </c:pt>
                <c:pt idx="15">
                  <c:v>28.7</c:v>
                </c:pt>
                <c:pt idx="16">
                  <c:v>26.8</c:v>
                </c:pt>
                <c:pt idx="17">
                  <c:v>28</c:v>
                </c:pt>
                <c:pt idx="18">
                  <c:v>41.1</c:v>
                </c:pt>
                <c:pt idx="19">
                  <c:v>33.7</c:v>
                </c:pt>
                <c:pt idx="20">
                  <c:v>39.3</c:v>
                </c:pt>
                <c:pt idx="21">
                  <c:v>46.7</c:v>
                </c:pt>
                <c:pt idx="22">
                  <c:v>49</c:v>
                </c:pt>
                <c:pt idx="23">
                  <c:v>47.6</c:v>
                </c:pt>
                <c:pt idx="24">
                  <c:v>44.9</c:v>
                </c:pt>
                <c:pt idx="25">
                  <c:v>39.4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4350813"/>
        <c:axId val="22140957"/>
      </c:lineChart>
      <c:catAx>
        <c:axId val="143508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140957"/>
        <c:crosses val="autoZero"/>
        <c:auto val="1"/>
        <c:lblAlgn val="ctr"/>
        <c:lblOffset val="100"/>
        <c:noMultiLvlLbl val="0"/>
      </c:catAx>
      <c:valAx>
        <c:axId val="2214095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Índice de difusión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3508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35</xdr:row>
      <xdr:rowOff>160920</xdr:rowOff>
    </xdr:from>
    <xdr:to>
      <xdr:col>8</xdr:col>
      <xdr:colOff>417960</xdr:colOff>
      <xdr:row>50</xdr:row>
      <xdr:rowOff>182880</xdr:rowOff>
    </xdr:to>
    <xdr:graphicFrame>
      <xdr:nvGraphicFramePr>
        <xdr:cNvPr id="0" name="Chart 1"/>
        <xdr:cNvGraphicFramePr/>
      </xdr:nvGraphicFramePr>
      <xdr:xfrm>
        <a:off x="0" y="78868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160560</xdr:rowOff>
    </xdr:from>
    <xdr:to>
      <xdr:col>10</xdr:col>
      <xdr:colOff>659520</xdr:colOff>
      <xdr:row>53</xdr:row>
      <xdr:rowOff>182520</xdr:rowOff>
    </xdr:to>
    <xdr:graphicFrame>
      <xdr:nvGraphicFramePr>
        <xdr:cNvPr id="1" name="Chart 1"/>
        <xdr:cNvGraphicFramePr/>
      </xdr:nvGraphicFramePr>
      <xdr:xfrm>
        <a:off x="0" y="80485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57</xdr:row>
      <xdr:rowOff>160560</xdr:rowOff>
    </xdr:from>
    <xdr:to>
      <xdr:col>10</xdr:col>
      <xdr:colOff>659520</xdr:colOff>
      <xdr:row>72</xdr:row>
      <xdr:rowOff>182520</xdr:rowOff>
    </xdr:to>
    <xdr:graphicFrame>
      <xdr:nvGraphicFramePr>
        <xdr:cNvPr id="2" name="Chart 2"/>
        <xdr:cNvGraphicFramePr/>
      </xdr:nvGraphicFramePr>
      <xdr:xfrm>
        <a:off x="0" y="1166796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160560</xdr:rowOff>
    </xdr:from>
    <xdr:to>
      <xdr:col>8</xdr:col>
      <xdr:colOff>80640</xdr:colOff>
      <xdr:row>31</xdr:row>
      <xdr:rowOff>182520</xdr:rowOff>
    </xdr:to>
    <xdr:graphicFrame>
      <xdr:nvGraphicFramePr>
        <xdr:cNvPr id="3" name="Chart 1"/>
        <xdr:cNvGraphicFramePr/>
      </xdr:nvGraphicFramePr>
      <xdr:xfrm>
        <a:off x="0" y="40384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160920</xdr:rowOff>
    </xdr:from>
    <xdr:to>
      <xdr:col>8</xdr:col>
      <xdr:colOff>80640</xdr:colOff>
      <xdr:row>50</xdr:row>
      <xdr:rowOff>182880</xdr:rowOff>
    </xdr:to>
    <xdr:graphicFrame>
      <xdr:nvGraphicFramePr>
        <xdr:cNvPr id="4" name="Chart 2"/>
        <xdr:cNvGraphicFramePr/>
      </xdr:nvGraphicFramePr>
      <xdr:xfrm>
        <a:off x="0" y="76582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55</xdr:row>
      <xdr:rowOff>160560</xdr:rowOff>
    </xdr:from>
    <xdr:to>
      <xdr:col>8</xdr:col>
      <xdr:colOff>221760</xdr:colOff>
      <xdr:row>70</xdr:row>
      <xdr:rowOff>182520</xdr:rowOff>
    </xdr:to>
    <xdr:graphicFrame>
      <xdr:nvGraphicFramePr>
        <xdr:cNvPr id="5" name="Chart 1"/>
        <xdr:cNvGraphicFramePr/>
      </xdr:nvGraphicFramePr>
      <xdr:xfrm>
        <a:off x="0" y="1270620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74</xdr:row>
      <xdr:rowOff>160920</xdr:rowOff>
    </xdr:from>
    <xdr:to>
      <xdr:col>8</xdr:col>
      <xdr:colOff>221760</xdr:colOff>
      <xdr:row>89</xdr:row>
      <xdr:rowOff>182880</xdr:rowOff>
    </xdr:to>
    <xdr:graphicFrame>
      <xdr:nvGraphicFramePr>
        <xdr:cNvPr id="6" name="Chart 2"/>
        <xdr:cNvGraphicFramePr/>
      </xdr:nvGraphicFramePr>
      <xdr:xfrm>
        <a:off x="0" y="1632600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93</xdr:row>
      <xdr:rowOff>160920</xdr:rowOff>
    </xdr:from>
    <xdr:to>
      <xdr:col>8</xdr:col>
      <xdr:colOff>221760</xdr:colOff>
      <xdr:row>108</xdr:row>
      <xdr:rowOff>182880</xdr:rowOff>
    </xdr:to>
    <xdr:graphicFrame>
      <xdr:nvGraphicFramePr>
        <xdr:cNvPr id="7" name="Chart 3"/>
        <xdr:cNvGraphicFramePr/>
      </xdr:nvGraphicFramePr>
      <xdr:xfrm>
        <a:off x="0" y="19945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55</xdr:row>
      <xdr:rowOff>160920</xdr:rowOff>
    </xdr:from>
    <xdr:to>
      <xdr:col>7</xdr:col>
      <xdr:colOff>785520</xdr:colOff>
      <xdr:row>70</xdr:row>
      <xdr:rowOff>182880</xdr:rowOff>
    </xdr:to>
    <xdr:graphicFrame>
      <xdr:nvGraphicFramePr>
        <xdr:cNvPr id="8" name="Chart 1"/>
        <xdr:cNvGraphicFramePr/>
      </xdr:nvGraphicFramePr>
      <xdr:xfrm>
        <a:off x="0" y="125254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74</xdr:row>
      <xdr:rowOff>160560</xdr:rowOff>
    </xdr:from>
    <xdr:to>
      <xdr:col>7</xdr:col>
      <xdr:colOff>785520</xdr:colOff>
      <xdr:row>89</xdr:row>
      <xdr:rowOff>182880</xdr:rowOff>
    </xdr:to>
    <xdr:graphicFrame>
      <xdr:nvGraphicFramePr>
        <xdr:cNvPr id="9" name="Chart 2"/>
        <xdr:cNvGraphicFramePr/>
      </xdr:nvGraphicFramePr>
      <xdr:xfrm>
        <a:off x="0" y="161449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93</xdr:row>
      <xdr:rowOff>160560</xdr:rowOff>
    </xdr:from>
    <xdr:to>
      <xdr:col>7</xdr:col>
      <xdr:colOff>785520</xdr:colOff>
      <xdr:row>108</xdr:row>
      <xdr:rowOff>182880</xdr:rowOff>
    </xdr:to>
    <xdr:graphicFrame>
      <xdr:nvGraphicFramePr>
        <xdr:cNvPr id="10" name="Chart 3"/>
        <xdr:cNvGraphicFramePr/>
      </xdr:nvGraphicFramePr>
      <xdr:xfrm>
        <a:off x="0" y="1976436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6.8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4" t="s">
        <v>5</v>
      </c>
      <c r="B6" s="5" t="s">
        <v>6</v>
      </c>
    </row>
    <row r="7" customFormat="false" ht="26.85" hidden="false" customHeight="false" outlineLevel="0" collapsed="false">
      <c r="A7" s="4" t="s">
        <v>7</v>
      </c>
      <c r="B7" s="5" t="s">
        <v>8</v>
      </c>
    </row>
    <row r="8" customFormat="false" ht="26.85" hidden="false" customHeight="false" outlineLevel="0" collapsed="false">
      <c r="A8" s="4" t="s">
        <v>9</v>
      </c>
      <c r="B8" s="5" t="s">
        <v>10</v>
      </c>
    </row>
    <row r="9" customFormat="false" ht="15" hidden="false" customHeight="false" outlineLevel="0" collapsed="false">
      <c r="A9" s="4" t="s">
        <v>11</v>
      </c>
      <c r="B9" s="5" t="s">
        <v>12</v>
      </c>
    </row>
    <row r="10" customFormat="false" ht="15" hidden="false" customHeight="false" outlineLevel="0" collapsed="false">
      <c r="A10" s="4" t="s">
        <v>13</v>
      </c>
      <c r="B10" s="5" t="s">
        <v>14</v>
      </c>
    </row>
    <row r="11" customFormat="false" ht="15" hidden="false" customHeight="false" outlineLevel="0" collapsed="false">
      <c r="A11" s="4" t="s">
        <v>15</v>
      </c>
      <c r="B11" s="5" t="s">
        <v>16</v>
      </c>
    </row>
    <row r="12" customFormat="false" ht="15" hidden="false" customHeight="false" outlineLevel="0" collapsed="false">
      <c r="A12" s="4" t="s">
        <v>17</v>
      </c>
      <c r="B12" s="5" t="s">
        <v>18</v>
      </c>
    </row>
    <row r="13" customFormat="false" ht="15" hidden="false" customHeight="false" outlineLevel="0" collapsed="false">
      <c r="A13" s="4" t="s">
        <v>19</v>
      </c>
      <c r="B13" s="5" t="s">
        <v>20</v>
      </c>
    </row>
    <row r="14" customFormat="false" ht="15" hidden="false" customHeight="false" outlineLevel="0" collapsed="false">
      <c r="A14" s="4" t="s">
        <v>21</v>
      </c>
      <c r="B14" s="5" t="s">
        <v>22</v>
      </c>
    </row>
    <row r="15" customFormat="false" ht="15" hidden="false" customHeight="false" outlineLevel="0" collapsed="false">
      <c r="A15" s="4" t="s">
        <v>23</v>
      </c>
      <c r="B15" s="5" t="s">
        <v>24</v>
      </c>
    </row>
    <row r="16" customFormat="false" ht="15" hidden="false" customHeight="false" outlineLevel="0" collapsed="false">
      <c r="A16" s="4" t="s">
        <v>25</v>
      </c>
      <c r="B16" s="5" t="s">
        <v>26</v>
      </c>
    </row>
    <row r="17" customFormat="false" ht="15" hidden="false" customHeight="false" outlineLevel="0" collapsed="false">
      <c r="A17" s="4" t="s">
        <v>27</v>
      </c>
      <c r="B17" s="5" t="s">
        <v>28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3" t="s">
        <v>29</v>
      </c>
    </row>
    <row r="20" customFormat="false" ht="15" hidden="false" customHeight="false" outlineLevel="0" collapsed="false">
      <c r="A20" s="6" t="s">
        <v>30</v>
      </c>
      <c r="B20" s="5" t="s">
        <v>31</v>
      </c>
    </row>
    <row r="21" customFormat="false" ht="26.85" hidden="false" customHeight="false" outlineLevel="0" collapsed="false">
      <c r="A21" s="7" t="s">
        <v>32</v>
      </c>
      <c r="B21" s="5" t="s">
        <v>33</v>
      </c>
    </row>
    <row r="22" customFormat="false" ht="15" hidden="false" customHeight="false" outlineLevel="0" collapsed="false">
      <c r="A22" s="4" t="s">
        <v>34</v>
      </c>
      <c r="B22" s="5" t="s">
        <v>35</v>
      </c>
    </row>
    <row r="23" customFormat="false" ht="15" hidden="false" customHeight="false" outlineLevel="0" collapsed="false">
      <c r="A23" s="8" t="s">
        <v>36</v>
      </c>
      <c r="B23" s="5" t="s">
        <v>37</v>
      </c>
    </row>
    <row r="24" customFormat="false" ht="15" hidden="false" customHeight="false" outlineLevel="0" collapsed="false">
      <c r="A24" s="9" t="s">
        <v>38</v>
      </c>
      <c r="B24" s="5" t="s">
        <v>39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3" t="s">
        <v>40</v>
      </c>
    </row>
    <row r="27" customFormat="false" ht="26.85" hidden="false" customHeight="false" outlineLevel="0" collapsed="false">
      <c r="A27" s="4" t="s">
        <v>41</v>
      </c>
      <c r="B27" s="5" t="s">
        <v>42</v>
      </c>
    </row>
    <row r="28" customFormat="false" ht="26.85" hidden="false" customHeight="false" outlineLevel="0" collapsed="false">
      <c r="A28" s="4" t="s">
        <v>43</v>
      </c>
      <c r="B28" s="5" t="s">
        <v>44</v>
      </c>
    </row>
    <row r="29" customFormat="false" ht="15" hidden="false" customHeight="false" outlineLevel="0" collapsed="false">
      <c r="A29" s="4" t="s">
        <v>45</v>
      </c>
      <c r="B29" s="5" t="s">
        <v>46</v>
      </c>
    </row>
    <row r="30" customFormat="false" ht="26.85" hidden="false" customHeight="false" outlineLevel="0" collapsed="false">
      <c r="A30" s="4" t="s">
        <v>47</v>
      </c>
      <c r="B30" s="5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7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10" min="8" style="0" width="13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20" min="14" style="0" width="12"/>
    <col collapsed="false" customWidth="true" hidden="false" outlineLevel="0" max="22" min="21" style="0" width="10"/>
    <col collapsed="false" customWidth="true" hidden="false" outlineLevel="0" max="24" min="23" style="0" width="11"/>
    <col collapsed="false" customWidth="true" hidden="false" outlineLevel="0" max="26" min="25" style="0" width="12"/>
    <col collapsed="false" customWidth="true" hidden="false" outlineLevel="0" max="29" min="27" style="0" width="11"/>
    <col collapsed="false" customWidth="true" hidden="false" outlineLevel="0" max="31" min="30" style="0" width="12"/>
    <col collapsed="false" customWidth="true" hidden="false" outlineLevel="0" max="32" min="32" style="0" width="10"/>
    <col collapsed="false" customWidth="true" hidden="false" outlineLevel="0" max="33" min="33" style="0" width="13"/>
    <col collapsed="false" customWidth="true" hidden="false" outlineLevel="0" max="35" min="34" style="0" width="12"/>
    <col collapsed="false" customWidth="true" hidden="false" outlineLevel="0" max="39" min="36" style="0" width="11"/>
    <col collapsed="false" customWidth="true" hidden="false" outlineLevel="0" max="40" min="40" style="0" width="14"/>
    <col collapsed="false" customWidth="true" hidden="false" outlineLevel="0" max="42" min="41" style="0" width="13"/>
    <col collapsed="false" customWidth="true" hidden="false" outlineLevel="0" max="45" min="43" style="0" width="12"/>
    <col collapsed="false" customWidth="true" hidden="false" outlineLevel="0" max="47" min="46" style="0" width="13"/>
    <col collapsed="false" customWidth="true" hidden="false" outlineLevel="0" max="48" min="48" style="0" width="11"/>
    <col collapsed="false" customWidth="true" hidden="false" outlineLevel="0" max="49" min="49" style="0" width="70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2" t="s">
        <v>50</v>
      </c>
    </row>
    <row r="4" customFormat="false" ht="96" hidden="false" customHeight="true" outlineLevel="0" collapsed="false">
      <c r="A4" s="10" t="s">
        <v>51</v>
      </c>
      <c r="B4" s="10" t="s">
        <v>52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63</v>
      </c>
      <c r="N4" s="10" t="s">
        <v>64</v>
      </c>
      <c r="O4" s="10" t="s">
        <v>65</v>
      </c>
      <c r="P4" s="10" t="s">
        <v>66</v>
      </c>
      <c r="Q4" s="10" t="s">
        <v>67</v>
      </c>
      <c r="R4" s="10" t="s">
        <v>68</v>
      </c>
      <c r="S4" s="10" t="s">
        <v>69</v>
      </c>
      <c r="T4" s="10" t="s">
        <v>70</v>
      </c>
      <c r="U4" s="10" t="s">
        <v>71</v>
      </c>
      <c r="V4" s="10" t="s">
        <v>72</v>
      </c>
      <c r="W4" s="10" t="s">
        <v>73</v>
      </c>
      <c r="X4" s="10" t="s">
        <v>74</v>
      </c>
      <c r="Y4" s="10" t="s">
        <v>75</v>
      </c>
      <c r="Z4" s="10" t="s">
        <v>76</v>
      </c>
      <c r="AA4" s="10" t="s">
        <v>77</v>
      </c>
      <c r="AB4" s="10" t="s">
        <v>78</v>
      </c>
      <c r="AC4" s="10" t="s">
        <v>79</v>
      </c>
      <c r="AD4" s="10" t="s">
        <v>80</v>
      </c>
      <c r="AE4" s="10" t="s">
        <v>81</v>
      </c>
      <c r="AF4" s="10" t="s">
        <v>82</v>
      </c>
      <c r="AG4" s="10" t="s">
        <v>83</v>
      </c>
      <c r="AH4" s="10" t="s">
        <v>84</v>
      </c>
      <c r="AI4" s="10" t="s">
        <v>85</v>
      </c>
      <c r="AJ4" s="10" t="s">
        <v>86</v>
      </c>
      <c r="AK4" s="10" t="s">
        <v>87</v>
      </c>
      <c r="AL4" s="10" t="s">
        <v>88</v>
      </c>
      <c r="AM4" s="10" t="s">
        <v>89</v>
      </c>
      <c r="AN4" s="10" t="s">
        <v>90</v>
      </c>
      <c r="AO4" s="10" t="s">
        <v>91</v>
      </c>
      <c r="AP4" s="10" t="s">
        <v>92</v>
      </c>
      <c r="AQ4" s="10" t="s">
        <v>93</v>
      </c>
      <c r="AR4" s="10" t="s">
        <v>94</v>
      </c>
      <c r="AS4" s="10" t="s">
        <v>95</v>
      </c>
      <c r="AT4" s="10" t="s">
        <v>96</v>
      </c>
      <c r="AU4" s="10" t="s">
        <v>97</v>
      </c>
      <c r="AV4" s="10" t="s">
        <v>98</v>
      </c>
      <c r="AW4" s="10" t="s">
        <v>99</v>
      </c>
    </row>
    <row r="5" customFormat="false" ht="15" hidden="false" customHeight="false" outlineLevel="0" collapsed="false">
      <c r="A5" s="4" t="s">
        <v>100</v>
      </c>
      <c r="B5" s="11" t="s">
        <v>101</v>
      </c>
      <c r="C5" s="12" t="n">
        <v>1</v>
      </c>
      <c r="D5" s="11" t="s">
        <v>102</v>
      </c>
      <c r="E5" s="12" t="n">
        <v>1</v>
      </c>
      <c r="F5" s="13" t="n">
        <v>6.5</v>
      </c>
      <c r="G5" s="14" t="n">
        <f aca="false">TIIE!G5</f>
        <v>6.74</v>
      </c>
      <c r="H5" s="14" t="n">
        <f aca="false">ROUND(AVERAGE(TIIE!B5:B7),2)</f>
        <v>7.34</v>
      </c>
      <c r="I5" s="14" t="n">
        <f aca="false">ROUND(AVERAGE(TIIE!C5:C7),2)</f>
        <v>7.09</v>
      </c>
      <c r="J5" s="15" t="n">
        <f aca="false">ROUND(J9/(1+'SIE variación anual'!B9/100),1)</f>
        <v>14.8</v>
      </c>
      <c r="L5" s="15" t="n">
        <f aca="false">ROUND(L9/(1+'SIE variación anual'!C9/100),1)</f>
        <v>80.1</v>
      </c>
      <c r="M5" s="15" t="n">
        <f aca="false">ROUND(M9/(1+'SIE variación anual'!D9/100),1)</f>
        <v>39.4</v>
      </c>
      <c r="N5" s="15" t="n">
        <f aca="false">ROUND(N9/(1+'SIE variación anual'!E9/100),1)</f>
        <v>37.5</v>
      </c>
      <c r="O5" s="15" t="n">
        <f aca="false">ROUND(O9/(1+'SIE variación anual'!F9/100),1)</f>
        <v>54.1</v>
      </c>
      <c r="P5" s="16" t="n">
        <f aca="false">IF(OR(N5="",O5=""),"",ROUND(O5-N5,1))</f>
        <v>16.6</v>
      </c>
      <c r="Q5" s="15" t="n">
        <f aca="false">ROUND(Q9/(1+'SIE variación anual'!G9/100),1)</f>
        <v>12.6</v>
      </c>
      <c r="R5" s="15" t="n">
        <f aca="false">ROUND(R9/(1+'SIE variación anual'!H9/100),1)</f>
        <v>31.6</v>
      </c>
      <c r="S5" s="16" t="n">
        <f aca="false">IF(OR(Q5="",R5=""),"",ROUND(R5-Q5,1))</f>
        <v>19</v>
      </c>
      <c r="T5" s="15" t="n">
        <f aca="false">ROUND(T9/(1+'SIE variación anual'!I9/100),1)</f>
        <v>59.3</v>
      </c>
      <c r="U5" s="15" t="n">
        <f aca="false">ROUND(U9/(1+'SIE variación anual'!J9/100),1)</f>
        <v>25.1</v>
      </c>
      <c r="V5" s="15" t="n">
        <f aca="false">ROUND(V9/(1+'SIE variación anual'!K9/100),1)</f>
        <v>15.6</v>
      </c>
      <c r="W5" s="15" t="n">
        <f aca="false">ROUND(W9/(1+'SIE variación anual'!L9/100),1)</f>
        <v>77.5</v>
      </c>
      <c r="X5" s="15" t="n">
        <f aca="false">ROUND(X9/(1+'SIE variación anual'!M9/100),1)</f>
        <v>24.9</v>
      </c>
      <c r="Y5" s="17"/>
      <c r="Z5" s="17"/>
      <c r="AA5" s="15" t="n">
        <f aca="false">ROUND(AA9/(1+'SIE variación anual'!P9/100),1)</f>
        <v>18.6</v>
      </c>
      <c r="AB5" s="15" t="n">
        <f aca="false">ROUND(AB9/(1+'SIE variación anual'!Q9/100),1)</f>
        <v>0.8</v>
      </c>
      <c r="AC5" s="15" t="n">
        <f aca="false">ROUND(AC9/(1+'SIE variación anual'!R9/100),1)</f>
        <v>3</v>
      </c>
      <c r="AD5" s="17"/>
      <c r="AE5" s="17"/>
      <c r="AF5" s="15" t="n">
        <f aca="false">ROUND(AF9/(1+'SIE variación anual'!U9/100),1)</f>
        <v>1.3</v>
      </c>
      <c r="AG5" s="18" t="n">
        <f aca="false">IF(OR(AC5="",J5=""),"",AC5/(AC5+J5))</f>
        <v>0.168539325842697</v>
      </c>
      <c r="AH5" s="18" t="str">
        <f aca="false">IF(OR(AD5="",Q5=""),"",AD5/(AD5+Q5))</f>
        <v/>
      </c>
      <c r="AI5" s="18" t="str">
        <f aca="false">IF(OR(AE5="",R5=""),"",AE5/(AE5+R5))</f>
        <v/>
      </c>
      <c r="AJ5" s="15" t="n">
        <f aca="false">ROUND(AJ9/(1+'SIE variación anual'!V9/100),1)</f>
        <v>49.1</v>
      </c>
      <c r="AK5" s="17"/>
      <c r="AL5" s="17"/>
      <c r="AM5" s="15" t="n">
        <f aca="false">ROUND(AM9/(1+'SIE variación anual'!Y9/100),1)</f>
        <v>43.1</v>
      </c>
      <c r="AN5" s="17"/>
      <c r="AO5" s="17"/>
      <c r="AP5" s="17"/>
      <c r="AQ5" s="15" t="n">
        <f aca="false">ROUND(AQ9/(1+'SIE variación anual'!AC9/100),1)</f>
        <v>29.3</v>
      </c>
      <c r="AR5" s="15" t="n">
        <f aca="false">ROUND(AR9/(1+'SIE variación anual'!AD9/100),1)</f>
        <v>51.6</v>
      </c>
      <c r="AS5" s="15" t="n">
        <f aca="false">ROUND(AS9/(1+'SIE variación anual'!AE9/100),1)</f>
        <v>2.6</v>
      </c>
      <c r="AT5" s="15" t="n">
        <f aca="false">ROUND(AT9/(1+'SIE variación anual'!AF9/100),1)</f>
        <v>54.1</v>
      </c>
      <c r="AU5" s="15" t="n">
        <f aca="false">ROUND(AU9/(1+'SIE variación anual'!AG9/100),1)</f>
        <v>62</v>
      </c>
      <c r="AV5" s="19"/>
      <c r="AW5" s="20" t="s">
        <v>103</v>
      </c>
    </row>
    <row r="6" customFormat="false" ht="15" hidden="false" customHeight="false" outlineLevel="0" collapsed="false">
      <c r="A6" s="4" t="s">
        <v>104</v>
      </c>
      <c r="B6" s="11" t="s">
        <v>101</v>
      </c>
      <c r="C6" s="12" t="n">
        <v>2</v>
      </c>
      <c r="D6" s="11" t="s">
        <v>102</v>
      </c>
      <c r="E6" s="12" t="n">
        <v>2</v>
      </c>
      <c r="F6" s="13" t="n">
        <v>5</v>
      </c>
      <c r="G6" s="14" t="n">
        <f aca="false">TIIE!G6</f>
        <v>5.2887</v>
      </c>
      <c r="H6" s="14" t="n">
        <f aca="false">ROUND(AVERAGE(TIIE!B8:B10),2)</f>
        <v>6.06</v>
      </c>
      <c r="I6" s="14" t="n">
        <f aca="false">ROUND(AVERAGE(TIIE!C8:C10),2)</f>
        <v>5.88</v>
      </c>
      <c r="J6" s="15" t="n">
        <f aca="false">ROUND(J10/(1+'SIE variación anual'!B10/100),1)</f>
        <v>10.6</v>
      </c>
      <c r="L6" s="15" t="n">
        <f aca="false">ROUND(L10/(1+'SIE variación anual'!C10/100),1)</f>
        <v>85.1</v>
      </c>
      <c r="M6" s="15" t="n">
        <f aca="false">ROUND(M10/(1+'SIE variación anual'!D10/100),1)</f>
        <v>37.2</v>
      </c>
      <c r="N6" s="15" t="n">
        <f aca="false">ROUND(N10/(1+'SIE variación anual'!E10/100),1)</f>
        <v>34.8</v>
      </c>
      <c r="O6" s="15" t="n">
        <f aca="false">ROUND(O10/(1+'SIE variación anual'!F10/100),1)</f>
        <v>56.4</v>
      </c>
      <c r="P6" s="16" t="n">
        <f aca="false">IF(OR(N6="",O6=""),"",ROUND(O6-N6,1))</f>
        <v>21.6</v>
      </c>
      <c r="Q6" s="15" t="n">
        <f aca="false">ROUND(Q10/(1+'SIE variación anual'!G10/100),1)</f>
        <v>8</v>
      </c>
      <c r="R6" s="15" t="n">
        <f aca="false">ROUND(R10/(1+'SIE variación anual'!H10/100),1)</f>
        <v>30.6</v>
      </c>
      <c r="S6" s="16" t="n">
        <f aca="false">IF(OR(Q6="",R6=""),"",ROUND(R6-Q6,1))</f>
        <v>22.6</v>
      </c>
      <c r="T6" s="15" t="n">
        <f aca="false">ROUND(T10/(1+'SIE variación anual'!I10/100),1)</f>
        <v>48.5</v>
      </c>
      <c r="U6" s="15" t="n">
        <f aca="false">ROUND(U10/(1+'SIE variación anual'!J10/100),1)</f>
        <v>31.7</v>
      </c>
      <c r="V6" s="15" t="n">
        <f aca="false">ROUND(V10/(1+'SIE variación anual'!K10/100),1)</f>
        <v>19.8</v>
      </c>
      <c r="W6" s="15" t="n">
        <f aca="false">ROUND(W10/(1+'SIE variación anual'!L10/100),1)</f>
        <v>80</v>
      </c>
      <c r="X6" s="15" t="n">
        <f aca="false">ROUND(X10/(1+'SIE variación anual'!M10/100),1)</f>
        <v>20.1</v>
      </c>
      <c r="Y6" s="15" t="n">
        <f aca="false">ROUND(Y10/(1+'SIE variación anual'!N10/100),1)</f>
        <v>17.7</v>
      </c>
      <c r="Z6" s="15" t="n">
        <f aca="false">ROUND(Z10/(1+'SIE variación anual'!O10/100),1)</f>
        <v>38.8</v>
      </c>
      <c r="AA6" s="15" t="n">
        <f aca="false">ROUND(AA10/(1+'SIE variación anual'!P10/100),1)</f>
        <v>15.8</v>
      </c>
      <c r="AB6" s="15" t="n">
        <f aca="false">ROUND(AB10/(1+'SIE variación anual'!Q10/100),1)</f>
        <v>0.5</v>
      </c>
      <c r="AC6" s="15" t="n">
        <f aca="false">ROUND(AC10/(1+'SIE variación anual'!R10/100),1)</f>
        <v>3.7</v>
      </c>
      <c r="AD6" s="15" t="n">
        <f aca="false">ROUND(AD10/(1+'SIE variación anual'!S10/100),1)</f>
        <v>4</v>
      </c>
      <c r="AE6" s="15" t="n">
        <f aca="false">ROUND(AE10/(1+'SIE variación anual'!T10/100),1)</f>
        <v>0.9</v>
      </c>
      <c r="AF6" s="15" t="n">
        <f aca="false">ROUND(AF10/(1+'SIE variación anual'!U10/100),1)</f>
        <v>0.2</v>
      </c>
      <c r="AG6" s="18" t="n">
        <f aca="false">IF(OR(AC6="",J6=""),"",AC6/(AC6+J6))</f>
        <v>0.258741258741259</v>
      </c>
      <c r="AH6" s="18" t="n">
        <f aca="false">IF(OR(AD6="",Q6=""),"",AD6/(AD6+Q6))</f>
        <v>0.333333333333333</v>
      </c>
      <c r="AI6" s="18" t="n">
        <f aca="false">IF(OR(AE6="",R6=""),"",AE6/(AE6+R6))</f>
        <v>0.0285714285714286</v>
      </c>
      <c r="AJ6" s="15" t="n">
        <f aca="false">ROUND(AJ10/(1+'SIE variación anual'!V10/100),1)</f>
        <v>36.8</v>
      </c>
      <c r="AK6" s="15" t="n">
        <f aca="false">ROUND(AK10/(1+'SIE variación anual'!W10/100),1)</f>
        <v>36</v>
      </c>
      <c r="AL6" s="15" t="n">
        <f aca="false">ROUND(AL10/(1+'SIE variación anual'!X10/100),1)</f>
        <v>38.6</v>
      </c>
      <c r="AM6" s="15" t="n">
        <f aca="false">ROUND(AM10/(1+'SIE variación anual'!Y10/100),1)</f>
        <v>48.2</v>
      </c>
      <c r="AN6" s="15" t="n">
        <f aca="false">ROUND(AN10/(1+'SIE variación anual'!Z10/100),1)</f>
        <v>2.5</v>
      </c>
      <c r="AO6" s="17"/>
      <c r="AP6" s="15" t="n">
        <f aca="false">ROUND(AP10/(1+'SIE variación anual'!AB10/100),1)</f>
        <v>7.4</v>
      </c>
      <c r="AQ6" s="15" t="n">
        <f aca="false">ROUND(AQ10/(1+'SIE variación anual'!AC10/100),1)</f>
        <v>22</v>
      </c>
      <c r="AR6" s="15" t="n">
        <f aca="false">ROUND(AR10/(1+'SIE variación anual'!AD10/100),1)</f>
        <v>33.2</v>
      </c>
      <c r="AS6" s="15" t="n">
        <f aca="false">ROUND(AS10/(1+'SIE variación anual'!AE10/100),1)</f>
        <v>0.2</v>
      </c>
      <c r="AT6" s="15" t="n">
        <f aca="false">ROUND(AT10/(1+'SIE variación anual'!AF10/100),1)</f>
        <v>54.4</v>
      </c>
      <c r="AU6" s="15" t="n">
        <f aca="false">ROUND(AU10/(1+'SIE variación anual'!AG10/100),1)</f>
        <v>69.7</v>
      </c>
      <c r="AV6" s="19"/>
    </row>
    <row r="7" customFormat="false" ht="15" hidden="false" customHeight="false" outlineLevel="0" collapsed="false">
      <c r="A7" s="4" t="s">
        <v>105</v>
      </c>
      <c r="B7" s="11" t="s">
        <v>101</v>
      </c>
      <c r="C7" s="12" t="n">
        <v>3</v>
      </c>
      <c r="D7" s="11" t="s">
        <v>102</v>
      </c>
      <c r="E7" s="12" t="n">
        <v>3</v>
      </c>
      <c r="F7" s="13" t="n">
        <v>4.25</v>
      </c>
      <c r="G7" s="14" t="n">
        <f aca="false">TIIE!G7</f>
        <v>4.5495</v>
      </c>
      <c r="H7" s="14" t="n">
        <f aca="false">ROUND(AVERAGE(TIIE!B11:B13),2)</f>
        <v>4.97</v>
      </c>
      <c r="I7" s="14" t="n">
        <f aca="false">ROUND(AVERAGE(TIIE!C11:C13),2)</f>
        <v>4.74</v>
      </c>
      <c r="J7" s="15" t="n">
        <f aca="false">ROUND(J11/(1+'SIE variación anual'!B11/100),1)</f>
        <v>12.8</v>
      </c>
      <c r="L7" s="15" t="n">
        <f aca="false">ROUND(L11/(1+'SIE variación anual'!C11/100),1)</f>
        <v>81.9</v>
      </c>
      <c r="M7" s="15" t="n">
        <f aca="false">ROUND(M11/(1+'SIE variación anual'!D11/100),1)</f>
        <v>36.9</v>
      </c>
      <c r="N7" s="15" t="n">
        <f aca="false">ROUND(N11/(1+'SIE variación anual'!E11/100),1)</f>
        <v>34.6</v>
      </c>
      <c r="O7" s="15" t="n">
        <f aca="false">ROUND(O11/(1+'SIE variación anual'!F11/100),1)</f>
        <v>54.3</v>
      </c>
      <c r="P7" s="16" t="n">
        <f aca="false">IF(OR(N7="",O7=""),"",ROUND(O7-N7,1))</f>
        <v>19.7</v>
      </c>
      <c r="Q7" s="17"/>
      <c r="R7" s="17"/>
      <c r="S7" s="16" t="str">
        <f aca="false">IF(OR(Q7="",R7=""),"",ROUND(R7-Q7,1))</f>
        <v/>
      </c>
      <c r="T7" s="15" t="n">
        <f aca="false">ROUND(T11/(1+'SIE variación anual'!I11/100),1)</f>
        <v>46.1</v>
      </c>
      <c r="U7" s="15" t="n">
        <f aca="false">ROUND(U11/(1+'SIE variación anual'!J11/100),1)</f>
        <v>25.1</v>
      </c>
      <c r="V7" s="15" t="n">
        <f aca="false">ROUND(V11/(1+'SIE variación anual'!K11/100),1)</f>
        <v>28.8</v>
      </c>
      <c r="W7" s="15" t="n">
        <f aca="false">ROUND(W11/(1+'SIE variación anual'!L11/100),1)</f>
        <v>79.1</v>
      </c>
      <c r="X7" s="15" t="n">
        <f aca="false">ROUND(X11/(1+'SIE variación anual'!M11/100),1)</f>
        <v>23.9</v>
      </c>
      <c r="Y7" s="17"/>
      <c r="Z7" s="17"/>
      <c r="AA7" s="15" t="n">
        <f aca="false">ROUND(AA11/(1+'SIE variación anual'!P11/100),1)</f>
        <v>17.4</v>
      </c>
      <c r="AB7" s="15" t="n">
        <f aca="false">ROUND(AB11/(1+'SIE variación anual'!Q11/100),1)</f>
        <v>0.7</v>
      </c>
      <c r="AC7" s="15" t="n">
        <f aca="false">ROUND(AC11/(1+'SIE variación anual'!R11/100),1)</f>
        <v>3.2</v>
      </c>
      <c r="AD7" s="17"/>
      <c r="AE7" s="17"/>
      <c r="AF7" s="15" t="n">
        <f aca="false">ROUND(AF11/(1+'SIE variación anual'!U11/100),1)</f>
        <v>1.4</v>
      </c>
      <c r="AG7" s="18" t="n">
        <f aca="false">IF(OR(AC7="",J7=""),"",AC7/(AC7+J7))</f>
        <v>0.2</v>
      </c>
      <c r="AH7" s="18" t="str">
        <f aca="false">IF(OR(AD7="",Q7=""),"",AD7/(AD7+Q7))</f>
        <v/>
      </c>
      <c r="AI7" s="18" t="str">
        <f aca="false">IF(OR(AE7="",R7=""),"",AE7/(AE7+R7))</f>
        <v/>
      </c>
      <c r="AJ7" s="15" t="n">
        <f aca="false">ROUND(AJ11/(1+'SIE variación anual'!V11/100),1)</f>
        <v>39.9</v>
      </c>
      <c r="AK7" s="17"/>
      <c r="AL7" s="17"/>
      <c r="AM7" s="15" t="n">
        <f aca="false">ROUND(AM11/(1+'SIE variación anual'!Y11/100),1)</f>
        <v>36.7</v>
      </c>
      <c r="AN7" s="17"/>
      <c r="AO7" s="17"/>
      <c r="AP7" s="17"/>
      <c r="AQ7" s="15" t="n">
        <f aca="false">ROUND(AQ11/(1+'SIE variación anual'!AC11/100),1)</f>
        <v>23.1</v>
      </c>
      <c r="AR7" s="15" t="n">
        <f aca="false">ROUND(AR11/(1+'SIE variación anual'!AD11/100),1)</f>
        <v>52.2</v>
      </c>
      <c r="AS7" s="15" t="n">
        <f aca="false">ROUND(AS11/(1+'SIE variación anual'!AE11/100),1)</f>
        <v>0.8</v>
      </c>
      <c r="AT7" s="15" t="n">
        <f aca="false">ROUND(AT11/(1+'SIE variación anual'!AF11/100),1)</f>
        <v>50.9</v>
      </c>
      <c r="AU7" s="15" t="n">
        <f aca="false">ROUND(AU11/(1+'SIE variación anual'!AG11/100),1)</f>
        <v>64.2</v>
      </c>
      <c r="AV7" s="19"/>
    </row>
    <row r="8" customFormat="false" ht="15" hidden="false" customHeight="false" outlineLevel="0" collapsed="false">
      <c r="A8" s="4" t="s">
        <v>106</v>
      </c>
      <c r="B8" s="11" t="s">
        <v>101</v>
      </c>
      <c r="C8" s="12" t="n">
        <v>4</v>
      </c>
      <c r="D8" s="11" t="s">
        <v>107</v>
      </c>
      <c r="E8" s="12" t="n">
        <v>4</v>
      </c>
      <c r="F8" s="13" t="n">
        <v>4.25</v>
      </c>
      <c r="G8" s="14" t="n">
        <f aca="false">TIIE!G8</f>
        <v>4.4842</v>
      </c>
      <c r="H8" s="14" t="n">
        <f aca="false">ROUND(AVERAGE(TIIE!B14:B16),2)</f>
        <v>4.51</v>
      </c>
      <c r="I8" s="14" t="n">
        <f aca="false">ROUND(AVERAGE(TIIE!C14:C16),2)</f>
        <v>4.27</v>
      </c>
      <c r="J8" s="17" t="n">
        <v>13.6</v>
      </c>
      <c r="K8" s="16" t="n">
        <f aca="false">IF(J8="","",AVERAGE(J5:J8))</f>
        <v>12.95</v>
      </c>
      <c r="L8" s="17" t="n">
        <v>84.2</v>
      </c>
      <c r="M8" s="17" t="n">
        <v>39.7</v>
      </c>
      <c r="N8" s="17" t="n">
        <v>38.7</v>
      </c>
      <c r="O8" s="17" t="n">
        <v>46.9</v>
      </c>
      <c r="P8" s="16" t="n">
        <f aca="false">IF(OR(N8="",O8=""),"",ROUND(O8-N8,1))</f>
        <v>8.2</v>
      </c>
      <c r="Q8" s="15" t="n">
        <f aca="false">ROUND(Q12/(1+'SIE variación anual'!G12/100),1)</f>
        <v>12.8</v>
      </c>
      <c r="R8" s="15" t="n">
        <f aca="false">ROUND(R12/(1+'SIE variación anual'!H12/100),1)</f>
        <v>19.8</v>
      </c>
      <c r="S8" s="16" t="n">
        <f aca="false">IF(OR(Q8="",R8=""),"",ROUND(R8-Q8,1))</f>
        <v>7</v>
      </c>
      <c r="T8" s="17" t="n">
        <v>47.3</v>
      </c>
      <c r="U8" s="17" t="n">
        <v>34</v>
      </c>
      <c r="V8" s="17" t="n">
        <v>18.7</v>
      </c>
      <c r="W8" s="15" t="n">
        <f aca="false">ROUND(W12/(1+'SIE variación anual'!L12/100),1)</f>
        <v>80.8</v>
      </c>
      <c r="X8" s="15" t="n">
        <f aca="false">ROUND(X12/(1+'SIE variación anual'!M12/100),1)</f>
        <v>20.8</v>
      </c>
      <c r="Y8" s="17"/>
      <c r="Z8" s="17"/>
      <c r="AA8" s="15" t="n">
        <f aca="false">ROUND(AA12/(1+'SIE variación anual'!P12/100),1)</f>
        <v>17</v>
      </c>
      <c r="AB8" s="15" t="n">
        <f aca="false">ROUND(AB12/(1+'SIE variación anual'!Q12/100),1)</f>
        <v>0.8</v>
      </c>
      <c r="AC8" s="15" t="n">
        <f aca="false">ROUND(AC12/(1+'SIE variación anual'!R12/100),1)</f>
        <v>1.2</v>
      </c>
      <c r="AD8" s="17"/>
      <c r="AE8" s="17"/>
      <c r="AF8" s="15" t="n">
        <f aca="false">ROUND(AF12/(1+'SIE variación anual'!U12/100),1)</f>
        <v>0.2</v>
      </c>
      <c r="AG8" s="18" t="n">
        <f aca="false">IF(OR(AC8="",J8=""),"",AC8/(AC8+J8))</f>
        <v>0.0810810810810811</v>
      </c>
      <c r="AH8" s="18" t="str">
        <f aca="false">IF(OR(AD8="",Q8=""),"",AD8/(AD8+Q8))</f>
        <v/>
      </c>
      <c r="AI8" s="18" t="str">
        <f aca="false">IF(OR(AE8="",R8=""),"",AE8/(AE8+R8))</f>
        <v/>
      </c>
      <c r="AJ8" s="15" t="n">
        <f aca="false">ROUND(AJ12/(1+'SIE variación anual'!V12/100),1)</f>
        <v>44.7</v>
      </c>
      <c r="AK8" s="17"/>
      <c r="AL8" s="17"/>
      <c r="AM8" s="15" t="n">
        <f aca="false">ROUND(AM12/(1+'SIE variación anual'!Y12/100),1)</f>
        <v>52.2</v>
      </c>
      <c r="AN8" s="17"/>
      <c r="AO8" s="17"/>
      <c r="AP8" s="17"/>
      <c r="AQ8" s="15" t="n">
        <f aca="false">ROUND(AQ12/(1+'SIE variación anual'!AC12/100),1)</f>
        <v>27.7</v>
      </c>
      <c r="AR8" s="15" t="n">
        <f aca="false">ROUND(AR12/(1+'SIE variación anual'!AD12/100),1)</f>
        <v>38.8</v>
      </c>
      <c r="AS8" s="15" t="n">
        <f aca="false">ROUND(AS12/(1+'SIE variación anual'!AE12/100),1)</f>
        <v>1.8</v>
      </c>
      <c r="AT8" s="15" t="n">
        <f aca="false">ROUND(AT12/(1+'SIE variación anual'!AF12/100),1)</f>
        <v>53.4</v>
      </c>
      <c r="AU8" s="15" t="n">
        <f aca="false">ROUND(AU12/(1+'SIE variación anual'!AG12/100),1)</f>
        <v>70.4</v>
      </c>
      <c r="AV8" s="19"/>
    </row>
    <row r="9" customFormat="false" ht="15" hidden="false" customHeight="false" outlineLevel="0" collapsed="false">
      <c r="A9" s="4" t="s">
        <v>108</v>
      </c>
      <c r="B9" s="11" t="s">
        <v>109</v>
      </c>
      <c r="C9" s="12" t="n">
        <v>1</v>
      </c>
      <c r="D9" s="11" t="s">
        <v>107</v>
      </c>
      <c r="E9" s="12" t="n">
        <v>5</v>
      </c>
      <c r="F9" s="13" t="n">
        <v>4</v>
      </c>
      <c r="G9" s="14" t="n">
        <f aca="false">TIIE!G9</f>
        <v>4.2875</v>
      </c>
      <c r="H9" s="14" t="n">
        <f aca="false">ROUND(AVERAGE(TIIE!B17:B19),2)</f>
        <v>4.37</v>
      </c>
      <c r="I9" s="14" t="n">
        <f aca="false">ROUND(AVERAGE(TIIE!C17:C19),2)</f>
        <v>4.14</v>
      </c>
      <c r="J9" s="17" t="n">
        <v>15.5</v>
      </c>
      <c r="K9" s="16" t="n">
        <f aca="false">IF(J9="","",AVERAGE(J6:J9))</f>
        <v>13.125</v>
      </c>
      <c r="L9" s="17" t="n">
        <v>78.7</v>
      </c>
      <c r="M9" s="17" t="n">
        <v>39.1</v>
      </c>
      <c r="N9" s="17" t="n">
        <v>37.5</v>
      </c>
      <c r="O9" s="17" t="n">
        <v>51.9</v>
      </c>
      <c r="P9" s="16" t="n">
        <f aca="false">IF(OR(N9="",O9=""),"",ROUND(O9-N9,1))</f>
        <v>14.4</v>
      </c>
      <c r="Q9" s="15" t="n">
        <f aca="false">ROUND(Q13/(1+'SIE variación anual'!G13/100),1)</f>
        <v>14.3</v>
      </c>
      <c r="R9" s="15" t="n">
        <f aca="false">ROUND(R13/(1+'SIE variación anual'!H13/100),1)</f>
        <v>25.1</v>
      </c>
      <c r="S9" s="16" t="n">
        <f aca="false">IF(OR(Q9="",R9=""),"",ROUND(R9-Q9,1))</f>
        <v>10.8</v>
      </c>
      <c r="T9" s="17" t="n">
        <v>51.6</v>
      </c>
      <c r="U9" s="17" t="n">
        <v>27.8</v>
      </c>
      <c r="V9" s="17" t="n">
        <v>20.6</v>
      </c>
      <c r="W9" s="15" t="n">
        <f aca="false">ROUND(W13/(1+'SIE variación anual'!L13/100),1)</f>
        <v>65.5</v>
      </c>
      <c r="X9" s="15" t="n">
        <f aca="false">ROUND(X13/(1+'SIE variación anual'!M13/100),1)</f>
        <v>31.2</v>
      </c>
      <c r="Y9" s="17"/>
      <c r="Z9" s="17"/>
      <c r="AA9" s="15" t="n">
        <f aca="false">ROUND(AA13/(1+'SIE variación anual'!P13/100),1)</f>
        <v>15.3</v>
      </c>
      <c r="AB9" s="15" t="n">
        <f aca="false">ROUND(AB13/(1+'SIE variación anual'!Q13/100),1)</f>
        <v>3</v>
      </c>
      <c r="AC9" s="15" t="n">
        <f aca="false">ROUND(AC13/(1+'SIE variación anual'!R13/100),1)</f>
        <v>1.7</v>
      </c>
      <c r="AD9" s="17"/>
      <c r="AE9" s="17"/>
      <c r="AF9" s="15" t="n">
        <f aca="false">ROUND(AF13/(1+'SIE variación anual'!U13/100),1)</f>
        <v>1.1</v>
      </c>
      <c r="AG9" s="18" t="n">
        <f aca="false">IF(OR(AC9="",J9=""),"",AC9/(AC9+J9))</f>
        <v>0.0988372093023256</v>
      </c>
      <c r="AH9" s="18" t="str">
        <f aca="false">IF(OR(AD9="",Q9=""),"",AD9/(AD9+Q9))</f>
        <v/>
      </c>
      <c r="AI9" s="18" t="str">
        <f aca="false">IF(OR(AE9="",R9=""),"",AE9/(AE9+R9))</f>
        <v/>
      </c>
      <c r="AJ9" s="15" t="n">
        <f aca="false">ROUND(AJ13/(1+'SIE variación anual'!V13/100),1)</f>
        <v>62.5</v>
      </c>
      <c r="AK9" s="17"/>
      <c r="AL9" s="17"/>
      <c r="AM9" s="15" t="n">
        <f aca="false">ROUND(AM13/(1+'SIE variación anual'!Y13/100),1)</f>
        <v>42.2</v>
      </c>
      <c r="AN9" s="17"/>
      <c r="AO9" s="17"/>
      <c r="AP9" s="17"/>
      <c r="AQ9" s="15" t="n">
        <f aca="false">ROUND(AQ13/(1+'SIE variación anual'!AC13/100),1)</f>
        <v>27.9</v>
      </c>
      <c r="AR9" s="15" t="n">
        <f aca="false">ROUND(AR13/(1+'SIE variación anual'!AD13/100),1)</f>
        <v>41.8</v>
      </c>
      <c r="AS9" s="15" t="n">
        <f aca="false">ROUND(AS13/(1+'SIE variación anual'!AE13/100),1)</f>
        <v>2.6</v>
      </c>
      <c r="AT9" s="15" t="n">
        <f aca="false">ROUND(AT13/(1+'SIE variación anual'!AF13/100),1)</f>
        <v>53</v>
      </c>
      <c r="AU9" s="15" t="n">
        <f aca="false">ROUND(AU13/(1+'SIE variación anual'!AG13/100),1)</f>
        <v>59.9</v>
      </c>
      <c r="AV9" s="19"/>
    </row>
    <row r="10" customFormat="false" ht="15" hidden="false" customHeight="false" outlineLevel="0" collapsed="false">
      <c r="A10" s="4" t="s">
        <v>110</v>
      </c>
      <c r="B10" s="11" t="s">
        <v>109</v>
      </c>
      <c r="C10" s="12" t="n">
        <v>2</v>
      </c>
      <c r="D10" s="11" t="s">
        <v>111</v>
      </c>
      <c r="E10" s="12" t="n">
        <v>6</v>
      </c>
      <c r="F10" s="13" t="n">
        <v>4.25</v>
      </c>
      <c r="G10" s="14" t="n">
        <f aca="false">TIIE!G10</f>
        <v>4.5292</v>
      </c>
      <c r="H10" s="14" t="n">
        <f aca="false">ROUND(AVERAGE(TIIE!B20:B22),2)</f>
        <v>4.3</v>
      </c>
      <c r="I10" s="14" t="n">
        <f aca="false">ROUND(AVERAGE(TIIE!C20:C22),2)</f>
        <v>4.03</v>
      </c>
      <c r="J10" s="17" t="n">
        <v>11</v>
      </c>
      <c r="K10" s="16" t="n">
        <f aca="false">IF(J10="","",AVERAGE(J7:J10))</f>
        <v>13.225</v>
      </c>
      <c r="L10" s="17" t="n">
        <v>81.6</v>
      </c>
      <c r="M10" s="17" t="n">
        <v>36.6</v>
      </c>
      <c r="N10" s="17" t="n">
        <v>35</v>
      </c>
      <c r="O10" s="17" t="n">
        <v>48.6</v>
      </c>
      <c r="P10" s="16" t="n">
        <f aca="false">IF(OR(N10="",O10=""),"",ROUND(O10-N10,1))</f>
        <v>13.6</v>
      </c>
      <c r="Q10" s="15" t="n">
        <f aca="false">ROUND(Q14/(1+'SIE variación anual'!G14/100),1)</f>
        <v>9.5</v>
      </c>
      <c r="R10" s="15" t="n">
        <f aca="false">ROUND(R14/(1+'SIE variación anual'!H14/100),1)</f>
        <v>22.9</v>
      </c>
      <c r="S10" s="16" t="n">
        <f aca="false">IF(OR(Q10="",R10=""),"",ROUND(R10-Q10,1))</f>
        <v>13.4</v>
      </c>
      <c r="T10" s="17" t="n">
        <v>59.5</v>
      </c>
      <c r="U10" s="17" t="n">
        <v>26.6</v>
      </c>
      <c r="V10" s="17" t="n">
        <v>13.9</v>
      </c>
      <c r="W10" s="15" t="n">
        <f aca="false">ROUND(W14/(1+'SIE variación anual'!L14/100),1)</f>
        <v>63.1</v>
      </c>
      <c r="X10" s="15" t="n">
        <f aca="false">ROUND(X14/(1+'SIE variación anual'!M14/100),1)</f>
        <v>26.1</v>
      </c>
      <c r="Y10" s="15" t="n">
        <f aca="false">ROUND(Y14/(1+'SIE variación anual'!N14/100),1)</f>
        <v>24.4</v>
      </c>
      <c r="Z10" s="15" t="n">
        <f aca="false">ROUND(Z14/(1+'SIE variación anual'!O14/100),1)</f>
        <v>38.8</v>
      </c>
      <c r="AA10" s="15" t="n">
        <f aca="false">ROUND(AA14/(1+'SIE variación anual'!P14/100),1)</f>
        <v>11.4</v>
      </c>
      <c r="AB10" s="15" t="n">
        <f aca="false">ROUND(AB14/(1+'SIE variación anual'!Q14/100),1)</f>
        <v>0.9</v>
      </c>
      <c r="AC10" s="15" t="n">
        <f aca="false">ROUND(AC14/(1+'SIE variación anual'!R14/100),1)</f>
        <v>4.3</v>
      </c>
      <c r="AD10" s="15" t="n">
        <f aca="false">ROUND(AD14/(1+'SIE variación anual'!S14/100),1)</f>
        <v>4.6</v>
      </c>
      <c r="AE10" s="15" t="n">
        <f aca="false">ROUND(AE14/(1+'SIE variación anual'!T14/100),1)</f>
        <v>2.1</v>
      </c>
      <c r="AF10" s="15" t="n">
        <f aca="false">ROUND(AF14/(1+'SIE variación anual'!U14/100),1)</f>
        <v>2.2</v>
      </c>
      <c r="AG10" s="18" t="n">
        <f aca="false">IF(OR(AC10="",J10=""),"",AC10/(AC10+J10))</f>
        <v>0.281045751633987</v>
      </c>
      <c r="AH10" s="18" t="n">
        <f aca="false">IF(OR(AD10="",Q10=""),"",AD10/(AD10+Q10))</f>
        <v>0.326241134751773</v>
      </c>
      <c r="AI10" s="18" t="n">
        <f aca="false">IF(OR(AE10="",R10=""),"",AE10/(AE10+R10))</f>
        <v>0.084</v>
      </c>
      <c r="AJ10" s="15" t="n">
        <f aca="false">ROUND(AJ14/(1+'SIE variación anual'!V14/100),1)</f>
        <v>32.5</v>
      </c>
      <c r="AK10" s="15" t="n">
        <f aca="false">ROUND(AK14/(1+'SIE variación anual'!W14/100),1)</f>
        <v>31.8</v>
      </c>
      <c r="AL10" s="15" t="n">
        <f aca="false">ROUND(AL14/(1+'SIE variación anual'!X14/100),1)</f>
        <v>35.1</v>
      </c>
      <c r="AM10" s="15" t="n">
        <f aca="false">ROUND(AM14/(1+'SIE variación anual'!Y14/100),1)</f>
        <v>47.5</v>
      </c>
      <c r="AN10" s="15" t="n">
        <f aca="false">ROUND(AN14/(1+'SIE variación anual'!Z14/100),1)</f>
        <v>15.4</v>
      </c>
      <c r="AO10" s="17"/>
      <c r="AP10" s="15" t="n">
        <f aca="false">ROUND(AP14/(1+'SIE variación anual'!AB14/100),1)</f>
        <v>3.7</v>
      </c>
      <c r="AQ10" s="15" t="n">
        <f aca="false">ROUND(AQ14/(1+'SIE variación anual'!AC14/100),1)</f>
        <v>25.8</v>
      </c>
      <c r="AR10" s="15" t="n">
        <f aca="false">ROUND(AR14/(1+'SIE variación anual'!AD14/100),1)</f>
        <v>36.9</v>
      </c>
      <c r="AS10" s="15" t="n">
        <f aca="false">ROUND(AS14/(1+'SIE variación anual'!AE14/100),1)</f>
        <v>0.7</v>
      </c>
      <c r="AT10" s="15" t="n">
        <f aca="false">ROUND(AT14/(1+'SIE variación anual'!AF14/100),1)</f>
        <v>42.2</v>
      </c>
      <c r="AU10" s="15" t="n">
        <f aca="false">ROUND(AU14/(1+'SIE variación anual'!AG14/100),1)</f>
        <v>52.7</v>
      </c>
      <c r="AV10" s="19"/>
    </row>
    <row r="11" customFormat="false" ht="15" hidden="false" customHeight="false" outlineLevel="0" collapsed="false">
      <c r="A11" s="4" t="s">
        <v>112</v>
      </c>
      <c r="B11" s="11" t="s">
        <v>109</v>
      </c>
      <c r="C11" s="12" t="n">
        <v>3</v>
      </c>
      <c r="D11" s="11" t="s">
        <v>111</v>
      </c>
      <c r="E11" s="12" t="n">
        <v>7</v>
      </c>
      <c r="F11" s="13" t="n">
        <v>4.75</v>
      </c>
      <c r="G11" s="14" t="n">
        <f aca="false">TIIE!G11</f>
        <v>4.749</v>
      </c>
      <c r="H11" s="14" t="n">
        <f aca="false">ROUND(AVERAGE(TIIE!B23:B25),2)</f>
        <v>4.64</v>
      </c>
      <c r="I11" s="14" t="n">
        <f aca="false">ROUND(AVERAGE(TIIE!C23:C25),2)</f>
        <v>4.42</v>
      </c>
      <c r="J11" s="17" t="n">
        <v>11.5</v>
      </c>
      <c r="K11" s="16" t="n">
        <f aca="false">IF(J11="","",AVERAGE(J8:J11))</f>
        <v>12.9</v>
      </c>
      <c r="L11" s="17" t="n">
        <v>81.7</v>
      </c>
      <c r="M11" s="17" t="n">
        <v>37.5</v>
      </c>
      <c r="N11" s="17" t="n">
        <v>35.6</v>
      </c>
      <c r="O11" s="17" t="n">
        <v>52.1</v>
      </c>
      <c r="P11" s="16" t="n">
        <f aca="false">IF(OR(N11="",O11=""),"",ROUND(O11-N11,1))</f>
        <v>16.5</v>
      </c>
      <c r="Q11" s="17"/>
      <c r="R11" s="17"/>
      <c r="S11" s="16" t="str">
        <f aca="false">IF(OR(Q11="",R11=""),"",ROUND(R11-Q11,1))</f>
        <v/>
      </c>
      <c r="T11" s="17" t="n">
        <v>51</v>
      </c>
      <c r="U11" s="17" t="n">
        <v>26.7</v>
      </c>
      <c r="V11" s="17" t="n">
        <v>22.3</v>
      </c>
      <c r="W11" s="15" t="n">
        <f aca="false">ROUND(W15/(1+'SIE variación anual'!L15/100),1)</f>
        <v>62.9</v>
      </c>
      <c r="X11" s="15" t="n">
        <f aca="false">ROUND(X15/(1+'SIE variación anual'!M15/100),1)</f>
        <v>27.7</v>
      </c>
      <c r="Y11" s="17"/>
      <c r="Z11" s="17"/>
      <c r="AA11" s="15" t="n">
        <f aca="false">ROUND(AA15/(1+'SIE variación anual'!P15/100),1)</f>
        <v>12</v>
      </c>
      <c r="AB11" s="15" t="n">
        <f aca="false">ROUND(AB15/(1+'SIE variación anual'!Q15/100),1)</f>
        <v>1</v>
      </c>
      <c r="AC11" s="15" t="n">
        <f aca="false">ROUND(AC15/(1+'SIE variación anual'!R15/100),1)</f>
        <v>5.4</v>
      </c>
      <c r="AD11" s="17"/>
      <c r="AE11" s="17"/>
      <c r="AF11" s="15" t="n">
        <f aca="false">ROUND(AF15/(1+'SIE variación anual'!U15/100),1)</f>
        <v>0.5</v>
      </c>
      <c r="AG11" s="18" t="n">
        <f aca="false">IF(OR(AC11="",J11=""),"",AC11/(AC11+J11))</f>
        <v>0.319526627218935</v>
      </c>
      <c r="AH11" s="18" t="str">
        <f aca="false">IF(OR(AD11="",Q11=""),"",AD11/(AD11+Q11))</f>
        <v/>
      </c>
      <c r="AI11" s="18" t="str">
        <f aca="false">IF(OR(AE11="",R11=""),"",AE11/(AE11+R11))</f>
        <v/>
      </c>
      <c r="AJ11" s="15" t="n">
        <f aca="false">ROUND(AJ15/(1+'SIE variación anual'!V15/100),1)</f>
        <v>36.2</v>
      </c>
      <c r="AK11" s="17"/>
      <c r="AL11" s="17"/>
      <c r="AM11" s="15" t="n">
        <f aca="false">ROUND(AM15/(1+'SIE variación anual'!Y15/100),1)</f>
        <v>40.5</v>
      </c>
      <c r="AN11" s="17"/>
      <c r="AO11" s="17"/>
      <c r="AP11" s="17"/>
      <c r="AQ11" s="15" t="n">
        <f aca="false">ROUND(AQ15/(1+'SIE variación anual'!AC15/100),1)</f>
        <v>23.8</v>
      </c>
      <c r="AR11" s="15" t="n">
        <f aca="false">ROUND(AR15/(1+'SIE variación anual'!AD15/100),1)</f>
        <v>40.9</v>
      </c>
      <c r="AS11" s="15" t="n">
        <f aca="false">ROUND(AS15/(1+'SIE variación anual'!AE15/100),1)</f>
        <v>1.6</v>
      </c>
      <c r="AT11" s="15" t="n">
        <f aca="false">ROUND(AT15/(1+'SIE variación anual'!AF15/100),1)</f>
        <v>55.1</v>
      </c>
      <c r="AU11" s="15" t="n">
        <f aca="false">ROUND(AU15/(1+'SIE variación anual'!AG15/100),1)</f>
        <v>57.4</v>
      </c>
      <c r="AV11" s="19"/>
    </row>
    <row r="12" customFormat="false" ht="15" hidden="false" customHeight="false" outlineLevel="0" collapsed="false">
      <c r="A12" s="4" t="s">
        <v>113</v>
      </c>
      <c r="B12" s="11" t="s">
        <v>109</v>
      </c>
      <c r="C12" s="12" t="n">
        <v>4</v>
      </c>
      <c r="D12" s="11" t="s">
        <v>111</v>
      </c>
      <c r="E12" s="12" t="n">
        <v>8</v>
      </c>
      <c r="F12" s="13" t="n">
        <v>5.5</v>
      </c>
      <c r="G12" s="14" t="n">
        <f aca="false">TIIE!G12</f>
        <v>5.715</v>
      </c>
      <c r="H12" s="14" t="n">
        <f aca="false">ROUND(AVERAGE(TIIE!B26:B28),2)</f>
        <v>5.18</v>
      </c>
      <c r="I12" s="14" t="n">
        <f aca="false">ROUND(AVERAGE(TIIE!C26:C28),2)</f>
        <v>4.97</v>
      </c>
      <c r="J12" s="17" t="n">
        <v>9</v>
      </c>
      <c r="K12" s="16" t="n">
        <f aca="false">IF(J12="","",AVERAGE(J9:J12))</f>
        <v>11.75</v>
      </c>
      <c r="L12" s="17" t="n">
        <v>86.3</v>
      </c>
      <c r="M12" s="17" t="n">
        <v>37.5</v>
      </c>
      <c r="N12" s="17" t="n">
        <v>35.3</v>
      </c>
      <c r="O12" s="17" t="n">
        <v>54.4</v>
      </c>
      <c r="P12" s="16" t="n">
        <f aca="false">IF(OR(N12="",O12=""),"",ROUND(O12-N12,1))</f>
        <v>19.1</v>
      </c>
      <c r="Q12" s="15" t="n">
        <f aca="false">ROUND(Q16/(1+'SIE variación anual'!G16/100),1)</f>
        <v>7.2</v>
      </c>
      <c r="R12" s="15" t="n">
        <f aca="false">ROUND(R16/(1+'SIE variación anual'!H16/100),1)</f>
        <v>23</v>
      </c>
      <c r="S12" s="16" t="n">
        <f aca="false">IF(OR(Q12="",R12=""),"",ROUND(R12-Q12,1))</f>
        <v>15.8</v>
      </c>
      <c r="T12" s="17" t="n">
        <v>49.8</v>
      </c>
      <c r="U12" s="17" t="n">
        <v>31.9</v>
      </c>
      <c r="V12" s="17" t="n">
        <v>18.2</v>
      </c>
      <c r="W12" s="15" t="n">
        <f aca="false">ROUND(W16/(1+'SIE variación anual'!L16/100),1)</f>
        <v>58.7</v>
      </c>
      <c r="X12" s="15" t="n">
        <f aca="false">ROUND(X16/(1+'SIE variación anual'!M16/100),1)</f>
        <v>26.9</v>
      </c>
      <c r="Y12" s="17"/>
      <c r="Z12" s="17"/>
      <c r="AA12" s="15" t="n">
        <f aca="false">ROUND(AA16/(1+'SIE variación anual'!P16/100),1)</f>
        <v>10.5</v>
      </c>
      <c r="AB12" s="15" t="n">
        <f aca="false">ROUND(AB16/(1+'SIE variación anual'!Q16/100),1)</f>
        <v>1.4</v>
      </c>
      <c r="AC12" s="15" t="n">
        <f aca="false">ROUND(AC16/(1+'SIE variación anual'!R16/100),1)</f>
        <v>3.1</v>
      </c>
      <c r="AD12" s="17"/>
      <c r="AE12" s="17"/>
      <c r="AF12" s="15" t="n">
        <f aca="false">ROUND(AF16/(1+'SIE variación anual'!U16/100),1)</f>
        <v>0.2</v>
      </c>
      <c r="AG12" s="18" t="n">
        <f aca="false">IF(OR(AC12="",J12=""),"",AC12/(AC12+J12))</f>
        <v>0.256198347107438</v>
      </c>
      <c r="AH12" s="18" t="str">
        <f aca="false">IF(OR(AD12="",Q12=""),"",AD12/(AD12+Q12))</f>
        <v/>
      </c>
      <c r="AI12" s="18" t="str">
        <f aca="false">IF(OR(AE12="",R12=""),"",AE12/(AE12+R12))</f>
        <v/>
      </c>
      <c r="AJ12" s="15" t="n">
        <f aca="false">ROUND(AJ16/(1+'SIE variación anual'!V16/100),1)</f>
        <v>36.4</v>
      </c>
      <c r="AK12" s="17"/>
      <c r="AL12" s="17"/>
      <c r="AM12" s="15" t="n">
        <f aca="false">ROUND(AM16/(1+'SIE variación anual'!Y16/100),1)</f>
        <v>42.1</v>
      </c>
      <c r="AN12" s="17"/>
      <c r="AO12" s="17"/>
      <c r="AP12" s="17"/>
      <c r="AQ12" s="15" t="n">
        <f aca="false">ROUND(AQ16/(1+'SIE variación anual'!AC16/100),1)</f>
        <v>28.7</v>
      </c>
      <c r="AR12" s="15" t="n">
        <f aca="false">ROUND(AR16/(1+'SIE variación anual'!AD16/100),1)</f>
        <v>35.8</v>
      </c>
      <c r="AS12" s="15" t="n">
        <f aca="false">ROUND(AS16/(1+'SIE variación anual'!AE16/100),1)</f>
        <v>0.9</v>
      </c>
      <c r="AT12" s="15" t="n">
        <f aca="false">ROUND(AT16/(1+'SIE variación anual'!AF16/100),1)</f>
        <v>59.7</v>
      </c>
      <c r="AU12" s="15" t="n">
        <f aca="false">ROUND(AU16/(1+'SIE variación anual'!AG16/100),1)</f>
        <v>60.2</v>
      </c>
      <c r="AV12" s="19"/>
    </row>
    <row r="13" customFormat="false" ht="15" hidden="false" customHeight="false" outlineLevel="0" collapsed="false">
      <c r="A13" s="4" t="s">
        <v>114</v>
      </c>
      <c r="B13" s="11" t="s">
        <v>115</v>
      </c>
      <c r="C13" s="12" t="n">
        <v>1</v>
      </c>
      <c r="D13" s="11" t="s">
        <v>111</v>
      </c>
      <c r="E13" s="12" t="n">
        <v>9</v>
      </c>
      <c r="F13" s="13" t="n">
        <v>6.5</v>
      </c>
      <c r="G13" s="14" t="n">
        <f aca="false">TIIE!G13</f>
        <v>6.7265</v>
      </c>
      <c r="H13" s="14" t="n">
        <f aca="false">ROUND(AVERAGE(TIIE!B29:B31),2)</f>
        <v>6.02</v>
      </c>
      <c r="I13" s="14" t="n">
        <f aca="false">ROUND(AVERAGE(TIIE!C29:C31),2)</f>
        <v>5.8</v>
      </c>
      <c r="J13" s="17" t="n">
        <v>15.2</v>
      </c>
      <c r="K13" s="16" t="n">
        <f aca="false">IF(J13="","",AVERAGE(J10:J13))</f>
        <v>11.675</v>
      </c>
      <c r="L13" s="17" t="n">
        <v>79.1</v>
      </c>
      <c r="M13" s="17" t="n">
        <v>41.9</v>
      </c>
      <c r="N13" s="17" t="n">
        <v>41.1</v>
      </c>
      <c r="O13" s="17" t="n">
        <v>47.8</v>
      </c>
      <c r="P13" s="16" t="n">
        <f aca="false">IF(OR(N13="",O13=""),"",ROUND(O13-N13,1))</f>
        <v>6.7</v>
      </c>
      <c r="Q13" s="15" t="n">
        <f aca="false">ROUND(Q17/(1+'SIE variación anual'!G17/100),1)</f>
        <v>14.1</v>
      </c>
      <c r="R13" s="15" t="n">
        <f aca="false">ROUND(R17/(1+'SIE variación anual'!H17/100),1)</f>
        <v>24</v>
      </c>
      <c r="S13" s="16" t="n">
        <f aca="false">IF(OR(Q13="",R13=""),"",ROUND(R13-Q13,1))</f>
        <v>9.9</v>
      </c>
      <c r="T13" s="17" t="n">
        <v>51.2</v>
      </c>
      <c r="U13" s="17" t="n">
        <v>30.9</v>
      </c>
      <c r="V13" s="17" t="n">
        <v>17.9</v>
      </c>
      <c r="W13" s="15" t="n">
        <f aca="false">ROUND(W17/(1+'SIE variación anual'!L17/100),1)</f>
        <v>59.1</v>
      </c>
      <c r="X13" s="15" t="n">
        <f aca="false">ROUND(X17/(1+'SIE variación anual'!M17/100),1)</f>
        <v>29.7</v>
      </c>
      <c r="Y13" s="17"/>
      <c r="Z13" s="17"/>
      <c r="AA13" s="15" t="n">
        <f aca="false">ROUND(AA17/(1+'SIE variación anual'!P17/100),1)</f>
        <v>11.3</v>
      </c>
      <c r="AB13" s="15" t="n">
        <f aca="false">ROUND(AB17/(1+'SIE variación anual'!Q17/100),1)</f>
        <v>2.5</v>
      </c>
      <c r="AC13" s="15" t="n">
        <f aca="false">ROUND(AC17/(1+'SIE variación anual'!R17/100),1)</f>
        <v>2.2</v>
      </c>
      <c r="AD13" s="17"/>
      <c r="AE13" s="17"/>
      <c r="AF13" s="15" t="n">
        <f aca="false">ROUND(AF17/(1+'SIE variación anual'!U17/100),1)</f>
        <v>1</v>
      </c>
      <c r="AG13" s="18" t="n">
        <f aca="false">IF(OR(AC13="",J13=""),"",AC13/(AC13+J13))</f>
        <v>0.126436781609195</v>
      </c>
      <c r="AH13" s="18" t="str">
        <f aca="false">IF(OR(AD13="",Q13=""),"",AD13/(AD13+Q13))</f>
        <v/>
      </c>
      <c r="AI13" s="18" t="str">
        <f aca="false">IF(OR(AE13="",R13=""),"",AE13/(AE13+R13))</f>
        <v/>
      </c>
      <c r="AJ13" s="15" t="n">
        <f aca="false">ROUND(AJ17/(1+'SIE variación anual'!V17/100),1)</f>
        <v>15.1</v>
      </c>
      <c r="AK13" s="17"/>
      <c r="AL13" s="17"/>
      <c r="AM13" s="15" t="n">
        <f aca="false">ROUND(AM17/(1+'SIE variación anual'!Y17/100),1)</f>
        <v>24.2</v>
      </c>
      <c r="AN13" s="17"/>
      <c r="AO13" s="17"/>
      <c r="AP13" s="17"/>
      <c r="AQ13" s="15" t="n">
        <f aca="false">ROUND(AQ17/(1+'SIE variación anual'!AC17/100),1)</f>
        <v>31</v>
      </c>
      <c r="AR13" s="15" t="n">
        <f aca="false">ROUND(AR17/(1+'SIE variación anual'!AD17/100),1)</f>
        <v>30.2</v>
      </c>
      <c r="AS13" s="15" t="n">
        <f aca="false">ROUND(AS17/(1+'SIE variación anual'!AE17/100),1)</f>
        <v>1.8</v>
      </c>
      <c r="AT13" s="15" t="n">
        <f aca="false">ROUND(AT17/(1+'SIE variación anual'!AF17/100),1)</f>
        <v>52</v>
      </c>
      <c r="AU13" s="15" t="n">
        <f aca="false">ROUND(AU17/(1+'SIE variación anual'!AG17/100),1)</f>
        <v>48</v>
      </c>
      <c r="AV13" s="19"/>
    </row>
    <row r="14" customFormat="false" ht="15" hidden="false" customHeight="false" outlineLevel="0" collapsed="false">
      <c r="A14" s="4" t="s">
        <v>116</v>
      </c>
      <c r="B14" s="11" t="s">
        <v>115</v>
      </c>
      <c r="C14" s="12" t="n">
        <v>2</v>
      </c>
      <c r="D14" s="11" t="s">
        <v>111</v>
      </c>
      <c r="E14" s="12" t="n">
        <v>10</v>
      </c>
      <c r="F14" s="13" t="n">
        <v>7.75</v>
      </c>
      <c r="G14" s="14" t="n">
        <f aca="false">TIIE!G14</f>
        <v>8.0245</v>
      </c>
      <c r="H14" s="14" t="n">
        <f aca="false">ROUND(AVERAGE(TIIE!B32:B34),2)</f>
        <v>7.05</v>
      </c>
      <c r="I14" s="14" t="n">
        <f aca="false">ROUND(AVERAGE(TIIE!C32:C34),2)</f>
        <v>6.83</v>
      </c>
      <c r="J14" s="17" t="n">
        <v>15.9</v>
      </c>
      <c r="K14" s="16" t="n">
        <f aca="false">IF(J14="","",AVERAGE(J11:J14))</f>
        <v>12.9</v>
      </c>
      <c r="L14" s="17" t="n">
        <v>79.7</v>
      </c>
      <c r="M14" s="17" t="n">
        <v>40.2</v>
      </c>
      <c r="N14" s="17" t="n">
        <v>38.7</v>
      </c>
      <c r="O14" s="17" t="n">
        <v>51.8</v>
      </c>
      <c r="P14" s="16" t="n">
        <f aca="false">IF(OR(N14="",O14=""),"",ROUND(O14-N14,1))</f>
        <v>13.1</v>
      </c>
      <c r="Q14" s="15" t="n">
        <f aca="false">ROUND(Q18/(1+'SIE variación anual'!G18/100),1)</f>
        <v>14.7</v>
      </c>
      <c r="R14" s="15" t="n">
        <f aca="false">ROUND(R18/(1+'SIE variación anual'!H18/100),1)</f>
        <v>24.6</v>
      </c>
      <c r="S14" s="16" t="n">
        <f aca="false">IF(OR(Q14="",R14=""),"",ROUND(R14-Q14,1))</f>
        <v>9.9</v>
      </c>
      <c r="T14" s="17" t="n">
        <v>49.6</v>
      </c>
      <c r="U14" s="17" t="n">
        <v>29.1</v>
      </c>
      <c r="V14" s="17" t="n">
        <v>21.3</v>
      </c>
      <c r="W14" s="15" t="n">
        <f aca="false">ROUND(W18/(1+'SIE variación anual'!L18/100),1)</f>
        <v>61.3</v>
      </c>
      <c r="X14" s="15" t="n">
        <f aca="false">ROUND(X18/(1+'SIE variación anual'!M18/100),1)</f>
        <v>27.7</v>
      </c>
      <c r="Y14" s="15" t="n">
        <f aca="false">ROUND(Y18/(1+'SIE variación anual'!N18/100),1)</f>
        <v>26.2</v>
      </c>
      <c r="Z14" s="15" t="n">
        <f aca="false">ROUND(Z18/(1+'SIE variación anual'!O18/100),1)</f>
        <v>39.5</v>
      </c>
      <c r="AA14" s="15" t="n">
        <f aca="false">ROUND(AA18/(1+'SIE variación anual'!P18/100),1)</f>
        <v>9.8</v>
      </c>
      <c r="AB14" s="15" t="n">
        <f aca="false">ROUND(AB18/(1+'SIE variación anual'!Q18/100),1)</f>
        <v>2.7</v>
      </c>
      <c r="AC14" s="15" t="n">
        <f aca="false">ROUND(AC18/(1+'SIE variación anual'!R18/100),1)</f>
        <v>1.6</v>
      </c>
      <c r="AD14" s="15" t="n">
        <f aca="false">ROUND(AD18/(1+'SIE variación anual'!S18/100),1)</f>
        <v>1.5</v>
      </c>
      <c r="AE14" s="15" t="n">
        <f aca="false">ROUND(AE18/(1+'SIE variación anual'!T18/100),1)</f>
        <v>1.9</v>
      </c>
      <c r="AF14" s="15" t="n">
        <f aca="false">ROUND(AF18/(1+'SIE variación anual'!U18/100),1)</f>
        <v>0.2</v>
      </c>
      <c r="AG14" s="18" t="n">
        <f aca="false">IF(OR(AC14="",J14=""),"",AC14/(AC14+J14))</f>
        <v>0.0914285714285714</v>
      </c>
      <c r="AH14" s="18" t="n">
        <f aca="false">IF(OR(AD14="",Q14=""),"",AD14/(AD14+Q14))</f>
        <v>0.0925925925925926</v>
      </c>
      <c r="AI14" s="18" t="n">
        <f aca="false">IF(OR(AE14="",R14=""),"",AE14/(AE14+R14))</f>
        <v>0.0716981132075472</v>
      </c>
      <c r="AJ14" s="15" t="n">
        <f aca="false">ROUND(AJ18/(1+'SIE variación anual'!V18/100),1)</f>
        <v>12.1</v>
      </c>
      <c r="AK14" s="15" t="n">
        <f aca="false">ROUND(AK18/(1+'SIE variación anual'!W18/100),1)</f>
        <v>9.7</v>
      </c>
      <c r="AL14" s="15" t="n">
        <f aca="false">ROUND(AL18/(1+'SIE variación anual'!X18/100),1)</f>
        <v>23.2</v>
      </c>
      <c r="AM14" s="15" t="n">
        <f aca="false">ROUND(AM18/(1+'SIE variación anual'!Y18/100),1)</f>
        <v>23.9</v>
      </c>
      <c r="AN14" s="15" t="n">
        <f aca="false">ROUND(AN18/(1+'SIE variación anual'!Z18/100),1)</f>
        <v>0.6</v>
      </c>
      <c r="AO14" s="17"/>
      <c r="AP14" s="15" t="n">
        <f aca="false">ROUND(AP18/(1+'SIE variación anual'!AB18/100),1)</f>
        <v>3.1</v>
      </c>
      <c r="AQ14" s="15" t="n">
        <f aca="false">ROUND(AQ18/(1+'SIE variación anual'!AC18/100),1)</f>
        <v>26.1</v>
      </c>
      <c r="AR14" s="15" t="n">
        <f aca="false">ROUND(AR18/(1+'SIE variación anual'!AD18/100),1)</f>
        <v>26.4</v>
      </c>
      <c r="AS14" s="15" t="n">
        <f aca="false">ROUND(AS18/(1+'SIE variación anual'!AE18/100),1)</f>
        <v>1.8</v>
      </c>
      <c r="AT14" s="15" t="n">
        <f aca="false">ROUND(AT18/(1+'SIE variación anual'!AF18/100),1)</f>
        <v>47.4</v>
      </c>
      <c r="AU14" s="15" t="n">
        <f aca="false">ROUND(AU18/(1+'SIE variación anual'!AG18/100),1)</f>
        <v>49.1</v>
      </c>
      <c r="AV14" s="19"/>
    </row>
    <row r="15" customFormat="false" ht="15" hidden="false" customHeight="false" outlineLevel="0" collapsed="false">
      <c r="A15" s="4" t="s">
        <v>117</v>
      </c>
      <c r="B15" s="11" t="s">
        <v>115</v>
      </c>
      <c r="C15" s="12" t="n">
        <v>3</v>
      </c>
      <c r="D15" s="11" t="s">
        <v>111</v>
      </c>
      <c r="E15" s="12" t="n">
        <v>11</v>
      </c>
      <c r="F15" s="13" t="n">
        <v>9.25</v>
      </c>
      <c r="G15" s="14" t="n">
        <f aca="false">TIIE!G15</f>
        <v>9.02</v>
      </c>
      <c r="H15" s="14" t="n">
        <f aca="false">ROUND(AVERAGE(TIIE!B35:B37),2)</f>
        <v>8.48</v>
      </c>
      <c r="I15" s="14" t="n">
        <f aca="false">ROUND(AVERAGE(TIIE!C35:C37),2)</f>
        <v>8.17</v>
      </c>
      <c r="J15" s="17" t="n">
        <v>16.5</v>
      </c>
      <c r="K15" s="16" t="n">
        <f aca="false">IF(J15="","",AVERAGE(J12:J15))</f>
        <v>14.15</v>
      </c>
      <c r="L15" s="17" t="n">
        <v>77.7</v>
      </c>
      <c r="M15" s="17" t="n">
        <v>37.9</v>
      </c>
      <c r="N15" s="17" t="n">
        <v>37</v>
      </c>
      <c r="O15" s="17" t="n">
        <v>45.1</v>
      </c>
      <c r="P15" s="16" t="n">
        <f aca="false">IF(OR(N15="",O15=""),"",ROUND(O15-N15,1))</f>
        <v>8.1</v>
      </c>
      <c r="Q15" s="17"/>
      <c r="R15" s="17"/>
      <c r="S15" s="16" t="str">
        <f aca="false">IF(OR(Q15="",R15=""),"",ROUND(R15-Q15,1))</f>
        <v/>
      </c>
      <c r="T15" s="17" t="n">
        <v>55.2</v>
      </c>
      <c r="U15" s="17" t="n">
        <v>22.5</v>
      </c>
      <c r="V15" s="17" t="n">
        <v>22.3</v>
      </c>
      <c r="W15" s="17" t="n">
        <v>58.4</v>
      </c>
      <c r="X15" s="17" t="n">
        <v>28.9</v>
      </c>
      <c r="Y15" s="17"/>
      <c r="Z15" s="17"/>
      <c r="AA15" s="17" t="n">
        <v>8.3</v>
      </c>
      <c r="AB15" s="17" t="n">
        <v>3.3</v>
      </c>
      <c r="AC15" s="17" t="n">
        <v>1.4</v>
      </c>
      <c r="AD15" s="17"/>
      <c r="AE15" s="17"/>
      <c r="AF15" s="17" t="n">
        <v>1.1</v>
      </c>
      <c r="AG15" s="18" t="n">
        <f aca="false">IF(OR(AC15="",J15=""),"",AC15/(AC15+J15))</f>
        <v>0.0782122905027933</v>
      </c>
      <c r="AH15" s="18" t="str">
        <f aca="false">IF(OR(AD15="",Q15=""),"",AD15/(AD15+Q15))</f>
        <v/>
      </c>
      <c r="AI15" s="18" t="str">
        <f aca="false">IF(OR(AE15="",R15=""),"",AE15/(AE15+R15))</f>
        <v/>
      </c>
      <c r="AJ15" s="17" t="n">
        <v>23.8</v>
      </c>
      <c r="AK15" s="17"/>
      <c r="AL15" s="17"/>
      <c r="AM15" s="17" t="n">
        <v>36.4</v>
      </c>
      <c r="AN15" s="17"/>
      <c r="AO15" s="17"/>
      <c r="AP15" s="17"/>
      <c r="AQ15" s="17" t="n">
        <v>22</v>
      </c>
      <c r="AR15" s="17" t="n">
        <v>37</v>
      </c>
      <c r="AS15" s="17" t="n">
        <v>2.6</v>
      </c>
      <c r="AT15" s="17" t="n">
        <v>47</v>
      </c>
      <c r="AU15" s="17" t="n">
        <v>47.6</v>
      </c>
      <c r="AV15" s="19"/>
    </row>
    <row r="16" customFormat="false" ht="15" hidden="false" customHeight="false" outlineLevel="0" collapsed="false">
      <c r="A16" s="4" t="s">
        <v>118</v>
      </c>
      <c r="B16" s="11" t="s">
        <v>115</v>
      </c>
      <c r="C16" s="12" t="n">
        <v>4</v>
      </c>
      <c r="D16" s="11" t="s">
        <v>111</v>
      </c>
      <c r="E16" s="12" t="n">
        <v>12</v>
      </c>
      <c r="F16" s="13" t="n">
        <v>10.5</v>
      </c>
      <c r="G16" s="14" t="n">
        <f aca="false">TIIE!G16</f>
        <v>10.7605</v>
      </c>
      <c r="H16" s="14" t="n">
        <f aca="false">ROUND(AVERAGE(TIIE!B38:B40),2)</f>
        <v>10.03</v>
      </c>
      <c r="I16" s="14" t="n">
        <f aca="false">ROUND(AVERAGE(TIIE!C38:C40),2)</f>
        <v>9.76</v>
      </c>
      <c r="J16" s="17" t="n">
        <v>13.8</v>
      </c>
      <c r="K16" s="16" t="n">
        <f aca="false">IF(J16="","",AVERAGE(J13:J16))</f>
        <v>15.35</v>
      </c>
      <c r="L16" s="17" t="n">
        <v>79.3</v>
      </c>
      <c r="M16" s="17" t="n">
        <v>37.1</v>
      </c>
      <c r="N16" s="17" t="n">
        <v>36.9</v>
      </c>
      <c r="O16" s="17" t="n">
        <v>38.9</v>
      </c>
      <c r="P16" s="16" t="n">
        <f aca="false">IF(OR(N16="",O16=""),"",ROUND(O16-N16,1))</f>
        <v>2</v>
      </c>
      <c r="Q16" s="17" t="n">
        <v>13</v>
      </c>
      <c r="R16" s="17" t="n">
        <v>20.5</v>
      </c>
      <c r="S16" s="16" t="n">
        <f aca="false">IF(OR(Q16="",R16=""),"",ROUND(R16-Q16,1))</f>
        <v>7.5</v>
      </c>
      <c r="T16" s="17" t="n">
        <v>61.3</v>
      </c>
      <c r="U16" s="17" t="n">
        <v>23.4</v>
      </c>
      <c r="V16" s="17" t="n">
        <v>15.3</v>
      </c>
      <c r="W16" s="17" t="n">
        <v>60.8</v>
      </c>
      <c r="X16" s="17" t="n">
        <v>28.2</v>
      </c>
      <c r="Y16" s="17"/>
      <c r="Z16" s="17"/>
      <c r="AA16" s="17" t="n">
        <v>9.7</v>
      </c>
      <c r="AB16" s="17" t="n">
        <v>3.1</v>
      </c>
      <c r="AC16" s="17" t="n">
        <v>3.5</v>
      </c>
      <c r="AD16" s="17"/>
      <c r="AE16" s="17"/>
      <c r="AF16" s="17" t="n">
        <v>0.3</v>
      </c>
      <c r="AG16" s="18" t="n">
        <f aca="false">IF(OR(AC16="",J16=""),"",AC16/(AC16+J16))</f>
        <v>0.202312138728324</v>
      </c>
      <c r="AH16" s="18" t="str">
        <f aca="false">IF(OR(AD16="",Q16=""),"",AD16/(AD16+Q16))</f>
        <v/>
      </c>
      <c r="AI16" s="18" t="str">
        <f aca="false">IF(OR(AE16="",R16=""),"",AE16/(AE16+R16))</f>
        <v/>
      </c>
      <c r="AJ16" s="17" t="n">
        <v>23.7</v>
      </c>
      <c r="AK16" s="17"/>
      <c r="AL16" s="17"/>
      <c r="AM16" s="17" t="n">
        <v>35.2</v>
      </c>
      <c r="AN16" s="17"/>
      <c r="AO16" s="17"/>
      <c r="AP16" s="17"/>
      <c r="AQ16" s="17" t="n">
        <v>20.3</v>
      </c>
      <c r="AR16" s="17" t="n">
        <v>31.5</v>
      </c>
      <c r="AS16" s="17" t="n">
        <v>1.6</v>
      </c>
      <c r="AT16" s="17" t="n">
        <v>48</v>
      </c>
      <c r="AU16" s="17" t="n">
        <v>47.9</v>
      </c>
      <c r="AV16" s="19" t="n">
        <v>630</v>
      </c>
    </row>
    <row r="17" customFormat="false" ht="15" hidden="false" customHeight="false" outlineLevel="0" collapsed="false">
      <c r="A17" s="4" t="s">
        <v>119</v>
      </c>
      <c r="B17" s="11" t="s">
        <v>120</v>
      </c>
      <c r="C17" s="12" t="n">
        <v>1</v>
      </c>
      <c r="D17" s="11" t="s">
        <v>111</v>
      </c>
      <c r="E17" s="12" t="n">
        <v>13</v>
      </c>
      <c r="F17" s="13" t="n">
        <v>11.25</v>
      </c>
      <c r="G17" s="14" t="n">
        <f aca="false">TIIE!G17</f>
        <v>11.4274</v>
      </c>
      <c r="H17" s="14" t="n">
        <f aca="false">ROUND(AVERAGE(TIIE!B41:B43),2)</f>
        <v>11.07</v>
      </c>
      <c r="I17" s="14" t="n">
        <f aca="false">ROUND(AVERAGE(TIIE!C41:C43),2)</f>
        <v>10.79</v>
      </c>
      <c r="J17" s="17" t="n">
        <v>15.9</v>
      </c>
      <c r="K17" s="16" t="n">
        <f aca="false">IF(J17="","",AVERAGE(J14:J17))</f>
        <v>15.525</v>
      </c>
      <c r="L17" s="17" t="n">
        <v>80</v>
      </c>
      <c r="M17" s="17" t="n">
        <v>36.8</v>
      </c>
      <c r="N17" s="17" t="n">
        <v>35.7</v>
      </c>
      <c r="O17" s="17" t="n">
        <v>44.8</v>
      </c>
      <c r="P17" s="16" t="n">
        <f aca="false">IF(OR(N17="",O17=""),"",ROUND(O17-N17,1))</f>
        <v>9.1</v>
      </c>
      <c r="Q17" s="15" t="n">
        <f aca="false">ROUND(Q21/(1+'SIE variación anual'!G21/100),1)</f>
        <v>15.3</v>
      </c>
      <c r="R17" s="15" t="n">
        <f aca="false">ROUND(R21/(1+'SIE variación anual'!H21/100),1)</f>
        <v>19.9</v>
      </c>
      <c r="S17" s="16" t="n">
        <f aca="false">IF(OR(Q17="",R17=""),"",ROUND(R17-Q17,1))</f>
        <v>4.6</v>
      </c>
      <c r="T17" s="17" t="n">
        <v>57.7</v>
      </c>
      <c r="U17" s="17" t="n">
        <v>25.4</v>
      </c>
      <c r="V17" s="17" t="n">
        <v>16.9</v>
      </c>
      <c r="W17" s="17" t="n">
        <v>61.2</v>
      </c>
      <c r="X17" s="17" t="n">
        <v>26.5</v>
      </c>
      <c r="Y17" s="17"/>
      <c r="Z17" s="17"/>
      <c r="AA17" s="17" t="n">
        <v>9.6</v>
      </c>
      <c r="AB17" s="17" t="n">
        <v>1.7</v>
      </c>
      <c r="AC17" s="17" t="n">
        <v>2</v>
      </c>
      <c r="AD17" s="17"/>
      <c r="AE17" s="17"/>
      <c r="AF17" s="17" t="n">
        <v>0.4</v>
      </c>
      <c r="AG17" s="18" t="n">
        <f aca="false">IF(OR(AC17="",J17=""),"",AC17/(AC17+J17))</f>
        <v>0.111731843575419</v>
      </c>
      <c r="AH17" s="18" t="str">
        <f aca="false">IF(OR(AD17="",Q17=""),"",AD17/(AD17+Q17))</f>
        <v/>
      </c>
      <c r="AI17" s="18" t="str">
        <f aca="false">IF(OR(AE17="",R17=""),"",AE17/(AE17+R17))</f>
        <v/>
      </c>
      <c r="AJ17" s="17" t="n">
        <v>28.9</v>
      </c>
      <c r="AK17" s="17"/>
      <c r="AL17" s="17"/>
      <c r="AM17" s="17" t="n">
        <v>32.8</v>
      </c>
      <c r="AN17" s="17"/>
      <c r="AO17" s="17"/>
      <c r="AP17" s="17"/>
      <c r="AQ17" s="17" t="n">
        <v>21.5</v>
      </c>
      <c r="AR17" s="17" t="n">
        <v>37.2</v>
      </c>
      <c r="AS17" s="17" t="n">
        <v>1.8</v>
      </c>
      <c r="AT17" s="17" t="n">
        <v>55.4</v>
      </c>
      <c r="AU17" s="17" t="n">
        <v>48.7</v>
      </c>
      <c r="AV17" s="19"/>
    </row>
    <row r="18" customFormat="false" ht="15" hidden="false" customHeight="false" outlineLevel="0" collapsed="false">
      <c r="A18" s="4" t="s">
        <v>121</v>
      </c>
      <c r="B18" s="11" t="s">
        <v>120</v>
      </c>
      <c r="C18" s="12" t="n">
        <v>2</v>
      </c>
      <c r="D18" s="11" t="s">
        <v>122</v>
      </c>
      <c r="E18" s="12" t="n">
        <v>14</v>
      </c>
      <c r="F18" s="13" t="n">
        <v>11.25</v>
      </c>
      <c r="G18" s="14" t="n">
        <f aca="false">TIIE!G18</f>
        <v>11.4925</v>
      </c>
      <c r="H18" s="14" t="n">
        <f aca="false">ROUND(AVERAGE(TIIE!B44:B46),2)</f>
        <v>11.52</v>
      </c>
      <c r="I18" s="14" t="n">
        <f aca="false">ROUND(AVERAGE(TIIE!C44:C46),2)</f>
        <v>11.27</v>
      </c>
      <c r="J18" s="17" t="n">
        <v>14.8</v>
      </c>
      <c r="K18" s="16" t="n">
        <f aca="false">IF(J18="","",AVERAGE(J15:J18))</f>
        <v>15.25</v>
      </c>
      <c r="L18" s="17" t="n">
        <v>81.6</v>
      </c>
      <c r="M18" s="17" t="n">
        <v>37.4</v>
      </c>
      <c r="N18" s="17" t="n">
        <v>36.6</v>
      </c>
      <c r="O18" s="17" t="n">
        <v>43.4</v>
      </c>
      <c r="P18" s="16" t="n">
        <f aca="false">IF(OR(N18="",O18=""),"",ROUND(O18-N18,1))</f>
        <v>6.8</v>
      </c>
      <c r="Q18" s="17" t="n">
        <v>14</v>
      </c>
      <c r="R18" s="17" t="n">
        <v>21.6</v>
      </c>
      <c r="S18" s="16" t="n">
        <f aca="false">IF(OR(Q18="",R18=""),"",ROUND(R18-Q18,1))</f>
        <v>7.6</v>
      </c>
      <c r="T18" s="17" t="n">
        <v>57.2</v>
      </c>
      <c r="U18" s="17" t="n">
        <v>25.9</v>
      </c>
      <c r="V18" s="17" t="n">
        <v>16.9</v>
      </c>
      <c r="W18" s="17" t="n">
        <v>59.4</v>
      </c>
      <c r="X18" s="17" t="n">
        <v>28.9</v>
      </c>
      <c r="Y18" s="15" t="n">
        <f aca="false">ROUND(Y22/(1+'SIE variación anual'!N22/100),1)</f>
        <v>27.7</v>
      </c>
      <c r="Z18" s="15" t="n">
        <f aca="false">ROUND(Z22/(1+'SIE variación anual'!O22/100),1)</f>
        <v>38.5</v>
      </c>
      <c r="AA18" s="17" t="n">
        <v>10.9</v>
      </c>
      <c r="AB18" s="17" t="n">
        <v>2.2</v>
      </c>
      <c r="AC18" s="17" t="n">
        <v>0.6</v>
      </c>
      <c r="AD18" s="15" t="n">
        <f aca="false">ROUND(AD22/(1+'SIE variación anual'!S22/100),1)</f>
        <v>0.6</v>
      </c>
      <c r="AE18" s="15" t="n">
        <f aca="false">ROUND(AE22/(1+'SIE variación anual'!T22/100),1)</f>
        <v>0.3</v>
      </c>
      <c r="AF18" s="17" t="n">
        <v>0.9</v>
      </c>
      <c r="AG18" s="18" t="n">
        <f aca="false">IF(OR(AC18="",J18=""),"",AC18/(AC18+J18))</f>
        <v>0.038961038961039</v>
      </c>
      <c r="AH18" s="18" t="n">
        <f aca="false">IF(OR(AD18="",Q18=""),"",AD18/(AD18+Q18))</f>
        <v>0.0410958904109589</v>
      </c>
      <c r="AI18" s="18" t="n">
        <f aca="false">IF(OR(AE18="",R18=""),"",AE18/(AE18+R18))</f>
        <v>0.0136986301369863</v>
      </c>
      <c r="AJ18" s="17" t="n">
        <v>27.6</v>
      </c>
      <c r="AK18" s="15" t="n">
        <f aca="false">ROUND(AK22/(1+'SIE variación anual'!W22/100),1)</f>
        <v>28</v>
      </c>
      <c r="AL18" s="15" t="n">
        <f aca="false">ROUND(AL22/(1+'SIE variación anual'!X22/100),1)</f>
        <v>25.6</v>
      </c>
      <c r="AM18" s="17" t="n">
        <v>37.3</v>
      </c>
      <c r="AN18" s="15" t="n">
        <f aca="false">ROUND(AN22/(1+'SIE variación anual'!Z22/100),1)</f>
        <v>1.6</v>
      </c>
      <c r="AO18" s="17"/>
      <c r="AP18" s="15" t="n">
        <f aca="false">ROUND(AP22/(1+'SIE variación anual'!AB22/100),1)</f>
        <v>2.9</v>
      </c>
      <c r="AQ18" s="17" t="n">
        <v>19.4</v>
      </c>
      <c r="AR18" s="17" t="n">
        <v>32.8</v>
      </c>
      <c r="AS18" s="17" t="n">
        <v>0.8</v>
      </c>
      <c r="AT18" s="17" t="n">
        <v>50.8</v>
      </c>
      <c r="AU18" s="17" t="n">
        <v>47.8</v>
      </c>
      <c r="AV18" s="19" t="n">
        <v>638</v>
      </c>
    </row>
    <row r="19" customFormat="false" ht="15" hidden="false" customHeight="false" outlineLevel="0" collapsed="false">
      <c r="A19" s="4" t="s">
        <v>123</v>
      </c>
      <c r="B19" s="11" t="s">
        <v>120</v>
      </c>
      <c r="C19" s="12" t="n">
        <v>3</v>
      </c>
      <c r="D19" s="11" t="s">
        <v>122</v>
      </c>
      <c r="E19" s="12" t="n">
        <v>15</v>
      </c>
      <c r="F19" s="13" t="n">
        <v>11.25</v>
      </c>
      <c r="G19" s="14" t="n">
        <f aca="false">TIIE!G19</f>
        <v>11.4983</v>
      </c>
      <c r="H19" s="14" t="n">
        <f aca="false">ROUND(AVERAGE(TIIE!B47:B49),2)</f>
        <v>11.5</v>
      </c>
      <c r="I19" s="14" t="n">
        <f aca="false">ROUND(AVERAGE(TIIE!C47:C49),2)</f>
        <v>11.25</v>
      </c>
      <c r="J19" s="17" t="n">
        <v>15.2</v>
      </c>
      <c r="K19" s="16" t="n">
        <f aca="false">IF(J19="","",AVERAGE(J16:J19))</f>
        <v>14.925</v>
      </c>
      <c r="L19" s="17" t="n">
        <v>80.6</v>
      </c>
      <c r="M19" s="17" t="n">
        <v>36.3</v>
      </c>
      <c r="N19" s="17" t="n">
        <v>35.5</v>
      </c>
      <c r="O19" s="17" t="n">
        <v>42.4</v>
      </c>
      <c r="P19" s="16" t="n">
        <f aca="false">IF(OR(N19="",O19=""),"",ROUND(O19-N19,1))</f>
        <v>6.9</v>
      </c>
      <c r="Q19" s="17"/>
      <c r="R19" s="17"/>
      <c r="S19" s="16" t="str">
        <f aca="false">IF(OR(Q19="",R19=""),"",ROUND(R19-Q19,1))</f>
        <v/>
      </c>
      <c r="T19" s="17" t="n">
        <v>59.4</v>
      </c>
      <c r="U19" s="17" t="n">
        <v>22.2</v>
      </c>
      <c r="V19" s="17" t="n">
        <v>18.4</v>
      </c>
      <c r="W19" s="17" t="n">
        <v>58.1</v>
      </c>
      <c r="X19" s="17" t="n">
        <v>29.3</v>
      </c>
      <c r="Y19" s="17"/>
      <c r="Z19" s="17"/>
      <c r="AA19" s="17" t="n">
        <v>13.3</v>
      </c>
      <c r="AB19" s="17" t="n">
        <v>2.8</v>
      </c>
      <c r="AC19" s="17" t="n">
        <v>1.3</v>
      </c>
      <c r="AD19" s="17"/>
      <c r="AE19" s="17"/>
      <c r="AF19" s="17" t="n">
        <v>0.1</v>
      </c>
      <c r="AG19" s="18" t="n">
        <f aca="false">IF(OR(AC19="",J19=""),"",AC19/(AC19+J19))</f>
        <v>0.0787878787878788</v>
      </c>
      <c r="AH19" s="18" t="str">
        <f aca="false">IF(OR(AD19="",Q19=""),"",AD19/(AD19+Q19))</f>
        <v/>
      </c>
      <c r="AI19" s="18" t="str">
        <f aca="false">IF(OR(AE19="",R19=""),"",AE19/(AE19+R19))</f>
        <v/>
      </c>
      <c r="AJ19" s="17" t="n">
        <v>38.9</v>
      </c>
      <c r="AK19" s="17"/>
      <c r="AL19" s="17"/>
      <c r="AM19" s="17" t="n">
        <v>42</v>
      </c>
      <c r="AN19" s="17"/>
      <c r="AO19" s="17"/>
      <c r="AP19" s="17"/>
      <c r="AQ19" s="17" t="n">
        <v>22.3</v>
      </c>
      <c r="AR19" s="17" t="n">
        <v>33.5</v>
      </c>
      <c r="AS19" s="17" t="n">
        <v>2</v>
      </c>
      <c r="AT19" s="17" t="n">
        <v>51.8</v>
      </c>
      <c r="AU19" s="17" t="n">
        <v>48.9</v>
      </c>
      <c r="AV19" s="19"/>
    </row>
    <row r="20" customFormat="false" ht="15" hidden="false" customHeight="false" outlineLevel="0" collapsed="false">
      <c r="A20" s="4" t="s">
        <v>124</v>
      </c>
      <c r="B20" s="11" t="s">
        <v>120</v>
      </c>
      <c r="C20" s="12" t="n">
        <v>4</v>
      </c>
      <c r="D20" s="11" t="s">
        <v>122</v>
      </c>
      <c r="E20" s="12" t="n">
        <v>16</v>
      </c>
      <c r="F20" s="13" t="n">
        <v>11.25</v>
      </c>
      <c r="G20" s="14" t="n">
        <f aca="false">TIIE!G20</f>
        <v>11.5035</v>
      </c>
      <c r="H20" s="14" t="n">
        <f aca="false">ROUND(AVERAGE(TIIE!B50:B52),2)</f>
        <v>11.5</v>
      </c>
      <c r="I20" s="14" t="n">
        <f aca="false">ROUND(AVERAGE(TIIE!C50:C52),2)</f>
        <v>11.26</v>
      </c>
      <c r="J20" s="17" t="n">
        <v>15.6</v>
      </c>
      <c r="K20" s="16" t="n">
        <f aca="false">IF(J20="","",AVERAGE(J17:J20))</f>
        <v>15.375</v>
      </c>
      <c r="L20" s="17" t="n">
        <v>81.8</v>
      </c>
      <c r="M20" s="17" t="n">
        <v>40.6</v>
      </c>
      <c r="N20" s="17" t="n">
        <v>40.1</v>
      </c>
      <c r="O20" s="17" t="n">
        <v>44.3</v>
      </c>
      <c r="P20" s="16" t="n">
        <f aca="false">IF(OR(N20="",O20=""),"",ROUND(O20-N20,1))</f>
        <v>4.2</v>
      </c>
      <c r="Q20" s="17" t="n">
        <v>15.3</v>
      </c>
      <c r="R20" s="17" t="n">
        <v>18.6</v>
      </c>
      <c r="S20" s="16" t="n">
        <f aca="false">IF(OR(Q20="",R20=""),"",ROUND(R20-Q20,1))</f>
        <v>3.3</v>
      </c>
      <c r="T20" s="17" t="n">
        <v>56.1</v>
      </c>
      <c r="U20" s="17" t="n">
        <v>29.1</v>
      </c>
      <c r="V20" s="17" t="n">
        <v>14.8</v>
      </c>
      <c r="W20" s="17" t="n">
        <v>64.9</v>
      </c>
      <c r="X20" s="17" t="n">
        <v>32.3</v>
      </c>
      <c r="Y20" s="17"/>
      <c r="Z20" s="17"/>
      <c r="AA20" s="17" t="n">
        <v>14.8</v>
      </c>
      <c r="AB20" s="17" t="n">
        <v>1.4</v>
      </c>
      <c r="AC20" s="17" t="n">
        <v>1</v>
      </c>
      <c r="AD20" s="17"/>
      <c r="AE20" s="17"/>
      <c r="AF20" s="17" t="n">
        <v>0.2</v>
      </c>
      <c r="AG20" s="18" t="n">
        <f aca="false">IF(OR(AC20="",J20=""),"",AC20/(AC20+J20))</f>
        <v>0.0602409638554217</v>
      </c>
      <c r="AH20" s="18" t="str">
        <f aca="false">IF(OR(AD20="",Q20=""),"",AD20/(AD20+Q20))</f>
        <v/>
      </c>
      <c r="AI20" s="18" t="str">
        <f aca="false">IF(OR(AE20="",R20=""),"",AE20/(AE20+R20))</f>
        <v/>
      </c>
      <c r="AJ20" s="17" t="n">
        <v>28.7</v>
      </c>
      <c r="AK20" s="17"/>
      <c r="AL20" s="17"/>
      <c r="AM20" s="17" t="n">
        <v>28.2</v>
      </c>
      <c r="AN20" s="17"/>
      <c r="AO20" s="17"/>
      <c r="AP20" s="17"/>
      <c r="AQ20" s="17" t="n">
        <v>25.2</v>
      </c>
      <c r="AR20" s="17" t="n">
        <v>29.4</v>
      </c>
      <c r="AS20" s="17" t="n">
        <v>1.6</v>
      </c>
      <c r="AT20" s="17" t="n">
        <v>52.5</v>
      </c>
      <c r="AU20" s="17" t="n">
        <v>49</v>
      </c>
      <c r="AV20" s="19" t="n">
        <v>644</v>
      </c>
    </row>
    <row r="21" customFormat="false" ht="15" hidden="false" customHeight="false" outlineLevel="0" collapsed="false">
      <c r="A21" s="4" t="s">
        <v>125</v>
      </c>
      <c r="B21" s="11" t="s">
        <v>126</v>
      </c>
      <c r="C21" s="12" t="n">
        <v>1</v>
      </c>
      <c r="D21" s="11" t="s">
        <v>127</v>
      </c>
      <c r="E21" s="12" t="n">
        <v>17</v>
      </c>
      <c r="F21" s="13" t="n">
        <v>11</v>
      </c>
      <c r="G21" s="14" t="n">
        <f aca="false">TIIE!G21</f>
        <v>11.2475</v>
      </c>
      <c r="H21" s="14" t="n">
        <f aca="false">ROUND(AVERAGE(TIIE!B53:B55),2)</f>
        <v>11.48</v>
      </c>
      <c r="I21" s="14" t="n">
        <f aca="false">ROUND(AVERAGE(TIIE!C53:C55),2)</f>
        <v>11.24</v>
      </c>
      <c r="J21" s="17" t="n">
        <v>16.7</v>
      </c>
      <c r="K21" s="16" t="n">
        <f aca="false">IF(J21="","",AVERAGE(J18:J21))</f>
        <v>15.575</v>
      </c>
      <c r="L21" s="17" t="n">
        <v>78.9</v>
      </c>
      <c r="M21" s="17" t="n">
        <v>39.5</v>
      </c>
      <c r="N21" s="17" t="n">
        <v>38.6</v>
      </c>
      <c r="O21" s="17" t="n">
        <v>46.5</v>
      </c>
      <c r="P21" s="16" t="n">
        <f aca="false">IF(OR(N21="",O21=""),"",ROUND(O21-N21,1))</f>
        <v>7.9</v>
      </c>
      <c r="Q21" s="17" t="n">
        <v>16.3</v>
      </c>
      <c r="R21" s="17" t="n">
        <v>20.2</v>
      </c>
      <c r="S21" s="16" t="n">
        <f aca="false">IF(OR(Q21="",R21=""),"",ROUND(R21-Q21,1))</f>
        <v>3.9</v>
      </c>
      <c r="T21" s="17" t="n">
        <v>56.6</v>
      </c>
      <c r="U21" s="17" t="n">
        <v>24.1</v>
      </c>
      <c r="V21" s="17" t="n">
        <v>19.3</v>
      </c>
      <c r="W21" s="17" t="n">
        <v>64.4</v>
      </c>
      <c r="X21" s="17" t="n">
        <v>30.5</v>
      </c>
      <c r="Y21" s="17"/>
      <c r="Z21" s="17"/>
      <c r="AA21" s="17" t="n">
        <v>10.3</v>
      </c>
      <c r="AB21" s="17" t="n">
        <v>2.6</v>
      </c>
      <c r="AC21" s="17" t="n">
        <v>1.6</v>
      </c>
      <c r="AD21" s="17"/>
      <c r="AE21" s="17"/>
      <c r="AF21" s="17" t="n">
        <v>0.2</v>
      </c>
      <c r="AG21" s="18" t="n">
        <f aca="false">IF(OR(AC21="",J21=""),"",AC21/(AC21+J21))</f>
        <v>0.087431693989071</v>
      </c>
      <c r="AH21" s="18" t="str">
        <f aca="false">IF(OR(AD21="",Q21=""),"",AD21/(AD21+Q21))</f>
        <v/>
      </c>
      <c r="AI21" s="18" t="str">
        <f aca="false">IF(OR(AE21="",R21=""),"",AE21/(AE21+R21))</f>
        <v/>
      </c>
      <c r="AJ21" s="17" t="n">
        <v>26.8</v>
      </c>
      <c r="AK21" s="17"/>
      <c r="AL21" s="17"/>
      <c r="AM21" s="17" t="n">
        <v>25.8</v>
      </c>
      <c r="AN21" s="17"/>
      <c r="AO21" s="17"/>
      <c r="AP21" s="17"/>
      <c r="AQ21" s="17" t="n">
        <v>23.1</v>
      </c>
      <c r="AR21" s="17" t="n">
        <v>37.6</v>
      </c>
      <c r="AS21" s="17" t="n">
        <v>2</v>
      </c>
      <c r="AT21" s="17" t="n">
        <v>53.5</v>
      </c>
      <c r="AU21" s="17" t="n">
        <v>47.7</v>
      </c>
      <c r="AV21" s="19"/>
      <c r="AW21" s="20" t="s">
        <v>128</v>
      </c>
    </row>
    <row r="22" customFormat="false" ht="15" hidden="false" customHeight="false" outlineLevel="0" collapsed="false">
      <c r="A22" s="4" t="s">
        <v>129</v>
      </c>
      <c r="B22" s="11" t="s">
        <v>126</v>
      </c>
      <c r="C22" s="12" t="n">
        <v>2</v>
      </c>
      <c r="D22" s="11" t="s">
        <v>127</v>
      </c>
      <c r="E22" s="12" t="n">
        <v>18</v>
      </c>
      <c r="F22" s="13" t="n">
        <v>11</v>
      </c>
      <c r="G22" s="14" t="n">
        <f aca="false">TIIE!G22</f>
        <v>11.24</v>
      </c>
      <c r="H22" s="14" t="n">
        <f aca="false">ROUND(AVERAGE(TIIE!B56:B58),2)</f>
        <v>11.24</v>
      </c>
      <c r="I22" s="14" t="n">
        <f aca="false">ROUND(AVERAGE(TIIE!C56:C58),2)</f>
        <v>11.01</v>
      </c>
      <c r="J22" s="17" t="n">
        <v>12.5</v>
      </c>
      <c r="K22" s="16" t="n">
        <f aca="false">IF(J22="","",AVERAGE(J19:J22))</f>
        <v>15</v>
      </c>
      <c r="L22" s="17" t="n">
        <v>83.5</v>
      </c>
      <c r="M22" s="17" t="n">
        <v>40.1</v>
      </c>
      <c r="N22" s="17" t="n">
        <v>39.3</v>
      </c>
      <c r="O22" s="17" t="n">
        <v>46.2</v>
      </c>
      <c r="P22" s="16" t="n">
        <f aca="false">IF(OR(N22="",O22=""),"",ROUND(O22-N22,1))</f>
        <v>6.9</v>
      </c>
      <c r="Q22" s="17" t="n">
        <v>11.2</v>
      </c>
      <c r="R22" s="17" t="n">
        <v>22.2</v>
      </c>
      <c r="S22" s="16" t="n">
        <f aca="false">IF(OR(Q22="",R22=""),"",ROUND(R22-Q22,1))</f>
        <v>11</v>
      </c>
      <c r="T22" s="17" t="n">
        <v>58.1</v>
      </c>
      <c r="U22" s="17" t="n">
        <v>24.1</v>
      </c>
      <c r="V22" s="17" t="n">
        <v>17.8</v>
      </c>
      <c r="W22" s="17" t="n">
        <v>62.6</v>
      </c>
      <c r="X22" s="17" t="n">
        <v>27.7</v>
      </c>
      <c r="Y22" s="15" t="n">
        <f aca="false">ROUND(Y26/(1+'SIE variación anual'!N26/100),1)</f>
        <v>26.5</v>
      </c>
      <c r="Z22" s="15" t="n">
        <f aca="false">ROUND(Z26/(1+'SIE variación anual'!O26/100),1)</f>
        <v>36.7</v>
      </c>
      <c r="AA22" s="17" t="n">
        <v>12.1</v>
      </c>
      <c r="AB22" s="17" t="n">
        <v>3.3</v>
      </c>
      <c r="AC22" s="17" t="n">
        <v>0.5</v>
      </c>
      <c r="AD22" s="15" t="n">
        <f aca="false">ROUND(AD26/(1+'SIE variación anual'!S26/100),1)</f>
        <v>0.5</v>
      </c>
      <c r="AE22" s="15" t="n">
        <f aca="false">ROUND(AE26/(1+'SIE variación anual'!T26/100),1)</f>
        <v>0.7</v>
      </c>
      <c r="AF22" s="17" t="n">
        <v>0.2</v>
      </c>
      <c r="AG22" s="18" t="n">
        <f aca="false">IF(OR(AC22="",J22=""),"",AC22/(AC22+J22))</f>
        <v>0.0384615384615385</v>
      </c>
      <c r="AH22" s="18" t="n">
        <f aca="false">IF(OR(AD22="",Q22=""),"",AD22/(AD22+Q22))</f>
        <v>0.0427350427350427</v>
      </c>
      <c r="AI22" s="18" t="n">
        <f aca="false">IF(OR(AE22="",R22=""),"",AE22/(AE22+R22))</f>
        <v>0.0305676855895197</v>
      </c>
      <c r="AJ22" s="17" t="n">
        <v>28</v>
      </c>
      <c r="AK22" s="15" t="n">
        <f aca="false">ROUND(AK26/(1+'SIE variación anual'!W26/100),1)</f>
        <v>24.4</v>
      </c>
      <c r="AL22" s="15" t="n">
        <f aca="false">ROUND(AL26/(1+'SIE variación anual'!X26/100),1)</f>
        <v>42.2</v>
      </c>
      <c r="AM22" s="17" t="n">
        <v>34.7</v>
      </c>
      <c r="AN22" s="15" t="n">
        <f aca="false">ROUND(AN26/(1+'SIE variación anual'!Z26/100),1)</f>
        <v>0.4</v>
      </c>
      <c r="AO22" s="17"/>
      <c r="AP22" s="15" t="n">
        <f aca="false">ROUND(AP26/(1+'SIE variación anual'!AB26/100),1)</f>
        <v>2.2</v>
      </c>
      <c r="AQ22" s="17" t="n">
        <v>24.2</v>
      </c>
      <c r="AR22" s="17" t="n">
        <v>40.5</v>
      </c>
      <c r="AS22" s="17" t="n">
        <v>2.2</v>
      </c>
      <c r="AT22" s="17" t="n">
        <v>50.1</v>
      </c>
      <c r="AU22" s="17" t="n">
        <v>49.3</v>
      </c>
      <c r="AV22" s="19" t="n">
        <v>648</v>
      </c>
    </row>
    <row r="23" customFormat="false" ht="15" hidden="false" customHeight="false" outlineLevel="0" collapsed="false">
      <c r="A23" s="4" t="s">
        <v>130</v>
      </c>
      <c r="B23" s="11" t="s">
        <v>126</v>
      </c>
      <c r="C23" s="12" t="n">
        <v>3</v>
      </c>
      <c r="D23" s="11" t="s">
        <v>127</v>
      </c>
      <c r="E23" s="12" t="n">
        <v>19</v>
      </c>
      <c r="F23" s="13" t="n">
        <v>10.5</v>
      </c>
      <c r="G23" s="14" t="n">
        <f aca="false">TIIE!G23</f>
        <v>10.74</v>
      </c>
      <c r="H23" s="14" t="n">
        <f aca="false">ROUND(AVERAGE(TIIE!B59:B61),2)</f>
        <v>11.09</v>
      </c>
      <c r="I23" s="14" t="n">
        <f aca="false">ROUND(AVERAGE(TIIE!C59:C61),2)</f>
        <v>10.86</v>
      </c>
      <c r="J23" s="17" t="n">
        <v>15.2</v>
      </c>
      <c r="K23" s="16" t="n">
        <f aca="false">IF(J23="","",AVERAGE(J20:J23))</f>
        <v>15</v>
      </c>
      <c r="L23" s="17" t="n">
        <v>79.5</v>
      </c>
      <c r="M23" s="17" t="n">
        <v>39.9</v>
      </c>
      <c r="N23" s="17" t="n">
        <v>38.9</v>
      </c>
      <c r="O23" s="17" t="n">
        <v>47.5</v>
      </c>
      <c r="P23" s="16" t="n">
        <f aca="false">IF(OR(N23="",O23=""),"",ROUND(O23-N23,1))</f>
        <v>8.6</v>
      </c>
      <c r="Q23" s="17"/>
      <c r="R23" s="17"/>
      <c r="S23" s="16" t="str">
        <f aca="false">IF(OR(Q23="",R23=""),"",ROUND(R23-Q23,1))</f>
        <v/>
      </c>
      <c r="T23" s="17" t="n">
        <v>54.5</v>
      </c>
      <c r="U23" s="17" t="n">
        <v>26.8</v>
      </c>
      <c r="V23" s="17" t="n">
        <v>18.7</v>
      </c>
      <c r="W23" s="17" t="n">
        <v>58.4</v>
      </c>
      <c r="X23" s="17" t="n">
        <v>28</v>
      </c>
      <c r="Y23" s="17"/>
      <c r="Z23" s="17"/>
      <c r="AA23" s="17" t="n">
        <v>12.3</v>
      </c>
      <c r="AB23" s="17" t="n">
        <v>3.1</v>
      </c>
      <c r="AC23" s="17" t="n">
        <v>0.9</v>
      </c>
      <c r="AD23" s="17"/>
      <c r="AE23" s="17"/>
      <c r="AF23" s="17" t="n">
        <v>1.4</v>
      </c>
      <c r="AG23" s="18" t="n">
        <f aca="false">IF(OR(AC23="",J23=""),"",AC23/(AC23+J23))</f>
        <v>0.0559006211180124</v>
      </c>
      <c r="AH23" s="18" t="str">
        <f aca="false">IF(OR(AD23="",Q23=""),"",AD23/(AD23+Q23))</f>
        <v/>
      </c>
      <c r="AI23" s="18" t="str">
        <f aca="false">IF(OR(AE23="",R23=""),"",AE23/(AE23+R23))</f>
        <v/>
      </c>
      <c r="AJ23" s="17" t="n">
        <v>41.1</v>
      </c>
      <c r="AK23" s="17"/>
      <c r="AL23" s="17"/>
      <c r="AM23" s="17" t="n">
        <v>40.5</v>
      </c>
      <c r="AN23" s="17"/>
      <c r="AO23" s="17"/>
      <c r="AP23" s="17"/>
      <c r="AQ23" s="17" t="n">
        <v>25.7</v>
      </c>
      <c r="AR23" s="17" t="n">
        <v>37.2</v>
      </c>
      <c r="AS23" s="17" t="n">
        <v>1.6</v>
      </c>
      <c r="AT23" s="17" t="n">
        <v>54.6</v>
      </c>
      <c r="AU23" s="17" t="n">
        <v>58.1</v>
      </c>
      <c r="AV23" s="19"/>
    </row>
    <row r="24" customFormat="false" ht="15" hidden="false" customHeight="false" outlineLevel="0" collapsed="false">
      <c r="A24" s="4" t="s">
        <v>131</v>
      </c>
      <c r="B24" s="11" t="s">
        <v>126</v>
      </c>
      <c r="C24" s="12" t="n">
        <v>4</v>
      </c>
      <c r="D24" s="11" t="s">
        <v>127</v>
      </c>
      <c r="E24" s="12" t="n">
        <v>20</v>
      </c>
      <c r="F24" s="13" t="n">
        <v>10</v>
      </c>
      <c r="G24" s="14" t="n">
        <f aca="false">TIIE!G24</f>
        <v>10.244</v>
      </c>
      <c r="H24" s="14" t="n">
        <f aca="false">ROUND(AVERAGE(TIIE!B62:B64),2)</f>
        <v>10.58</v>
      </c>
      <c r="I24" s="14" t="n">
        <f aca="false">ROUND(AVERAGE(TIIE!C62:C64),2)</f>
        <v>10.39</v>
      </c>
      <c r="J24" s="17" t="n">
        <v>12.1</v>
      </c>
      <c r="K24" s="16" t="n">
        <f aca="false">IF(J24="","",AVERAGE(J21:J24))</f>
        <v>14.125</v>
      </c>
      <c r="L24" s="17" t="n">
        <v>84.7</v>
      </c>
      <c r="M24" s="17" t="n">
        <v>36.3</v>
      </c>
      <c r="N24" s="17" t="n">
        <v>34.8</v>
      </c>
      <c r="O24" s="17" t="n">
        <v>48</v>
      </c>
      <c r="P24" s="16" t="n">
        <f aca="false">IF(OR(N24="",O24=""),"",ROUND(O24-N24,1))</f>
        <v>13.2</v>
      </c>
      <c r="Q24" s="17" t="n">
        <v>10.9</v>
      </c>
      <c r="R24" s="17" t="n">
        <v>21.4</v>
      </c>
      <c r="S24" s="16" t="n">
        <f aca="false">IF(OR(Q24="",R24=""),"",ROUND(R24-Q24,1))</f>
        <v>10.5</v>
      </c>
      <c r="T24" s="17" t="n">
        <v>55.4</v>
      </c>
      <c r="U24" s="17" t="n">
        <v>25.7</v>
      </c>
      <c r="V24" s="17" t="n">
        <v>18.8</v>
      </c>
      <c r="W24" s="17" t="n">
        <v>60</v>
      </c>
      <c r="X24" s="17" t="n">
        <v>28</v>
      </c>
      <c r="Y24" s="17"/>
      <c r="Z24" s="17"/>
      <c r="AA24" s="17" t="n">
        <v>16.2</v>
      </c>
      <c r="AB24" s="17" t="n">
        <v>1.2</v>
      </c>
      <c r="AC24" s="17" t="n">
        <v>1.3</v>
      </c>
      <c r="AD24" s="17"/>
      <c r="AE24" s="17"/>
      <c r="AF24" s="17" t="n">
        <v>0.8</v>
      </c>
      <c r="AG24" s="18" t="n">
        <f aca="false">IF(OR(AC24="",J24=""),"",AC24/(AC24+J24))</f>
        <v>0.0970149253731343</v>
      </c>
      <c r="AH24" s="18" t="str">
        <f aca="false">IF(OR(AD24="",Q24=""),"",AD24/(AD24+Q24))</f>
        <v/>
      </c>
      <c r="AI24" s="18" t="str">
        <f aca="false">IF(OR(AE24="",R24=""),"",AE24/(AE24+R24))</f>
        <v/>
      </c>
      <c r="AJ24" s="17" t="n">
        <v>33.7</v>
      </c>
      <c r="AK24" s="17"/>
      <c r="AL24" s="17"/>
      <c r="AM24" s="17" t="n">
        <v>34.3</v>
      </c>
      <c r="AN24" s="17"/>
      <c r="AO24" s="17"/>
      <c r="AP24" s="17"/>
      <c r="AQ24" s="17" t="n">
        <v>23.1</v>
      </c>
      <c r="AR24" s="17" t="n">
        <v>40.9</v>
      </c>
      <c r="AS24" s="17" t="n">
        <v>1.9</v>
      </c>
      <c r="AT24" s="17" t="n">
        <v>54.1</v>
      </c>
      <c r="AU24" s="17" t="n">
        <v>50.8</v>
      </c>
      <c r="AV24" s="19" t="n">
        <v>664</v>
      </c>
    </row>
    <row r="25" customFormat="false" ht="15" hidden="false" customHeight="false" outlineLevel="0" collapsed="false">
      <c r="A25" s="4" t="s">
        <v>132</v>
      </c>
      <c r="B25" s="11" t="s">
        <v>133</v>
      </c>
      <c r="C25" s="12" t="n">
        <v>1</v>
      </c>
      <c r="D25" s="11" t="s">
        <v>127</v>
      </c>
      <c r="E25" s="12" t="n">
        <v>21</v>
      </c>
      <c r="F25" s="13" t="n">
        <v>9</v>
      </c>
      <c r="G25" s="14" t="n">
        <f aca="false">TIIE!G25</f>
        <v>9.2604</v>
      </c>
      <c r="H25" s="14" t="n">
        <f aca="false">ROUND(AVERAGE(TIIE!B65:B67),2)</f>
        <v>9.97</v>
      </c>
      <c r="I25" s="14" t="n">
        <f aca="false">ROUND(AVERAGE(TIIE!C65:C67),2)</f>
        <v>9.67</v>
      </c>
      <c r="J25" s="17" t="n">
        <v>13.3</v>
      </c>
      <c r="K25" s="16" t="n">
        <f aca="false">IF(J25="","",AVERAGE(J22:J25))</f>
        <v>13.275</v>
      </c>
      <c r="L25" s="17" t="n">
        <v>82.2</v>
      </c>
      <c r="M25" s="17" t="n">
        <v>37.4</v>
      </c>
      <c r="N25" s="17" t="n">
        <v>36.3</v>
      </c>
      <c r="O25" s="17" t="n">
        <v>45.9</v>
      </c>
      <c r="P25" s="16" t="n">
        <f aca="false">IF(OR(N25="",O25=""),"",ROUND(O25-N25,1))</f>
        <v>9.6</v>
      </c>
      <c r="Q25" s="15" t="n">
        <f aca="false">ROUND(Q21*(1+'SIE variación anual'!G25/100),1)</f>
        <v>12</v>
      </c>
      <c r="R25" s="15" t="n">
        <f aca="false">ROUND(R21*(1+'SIE variación anual'!H25/100),1)</f>
        <v>23.6</v>
      </c>
      <c r="S25" s="16" t="n">
        <f aca="false">IF(OR(Q25="",R25=""),"",ROUND(R25-Q25,1))</f>
        <v>11.6</v>
      </c>
      <c r="T25" s="17" t="n">
        <v>55.6</v>
      </c>
      <c r="U25" s="17" t="n">
        <v>27.3</v>
      </c>
      <c r="V25" s="17" t="n">
        <v>17.1</v>
      </c>
      <c r="W25" s="17" t="n">
        <v>62.1</v>
      </c>
      <c r="X25" s="17" t="n">
        <v>27.3</v>
      </c>
      <c r="Y25" s="17"/>
      <c r="Z25" s="17"/>
      <c r="AA25" s="17" t="n">
        <v>12.9</v>
      </c>
      <c r="AB25" s="17" t="n">
        <v>2.6</v>
      </c>
      <c r="AC25" s="17" t="n">
        <v>1</v>
      </c>
      <c r="AD25" s="17"/>
      <c r="AE25" s="17"/>
      <c r="AF25" s="17" t="n">
        <v>0.9</v>
      </c>
      <c r="AG25" s="18" t="n">
        <f aca="false">IF(OR(AC25="",J25=""),"",AC25/(AC25+J25))</f>
        <v>0.0699300699300699</v>
      </c>
      <c r="AH25" s="18" t="str">
        <f aca="false">IF(OR(AD25="",Q25=""),"",AD25/(AD25+Q25))</f>
        <v/>
      </c>
      <c r="AI25" s="18" t="str">
        <f aca="false">IF(OR(AE25="",R25=""),"",AE25/(AE25+R25))</f>
        <v/>
      </c>
      <c r="AJ25" s="17" t="n">
        <v>39.3</v>
      </c>
      <c r="AK25" s="17"/>
      <c r="AL25" s="17"/>
      <c r="AM25" s="17" t="n">
        <v>38.2</v>
      </c>
      <c r="AN25" s="17"/>
      <c r="AO25" s="17"/>
      <c r="AP25" s="17"/>
      <c r="AQ25" s="17" t="n">
        <v>21.9</v>
      </c>
      <c r="AR25" s="17" t="n">
        <v>37.4</v>
      </c>
      <c r="AS25" s="17" t="n">
        <v>1.1</v>
      </c>
      <c r="AT25" s="17" t="n">
        <v>52.7</v>
      </c>
      <c r="AU25" s="17" t="n">
        <v>54.6</v>
      </c>
      <c r="AV25" s="19"/>
    </row>
    <row r="26" customFormat="false" ht="15" hidden="false" customHeight="false" outlineLevel="0" collapsed="false">
      <c r="A26" s="4" t="s">
        <v>134</v>
      </c>
      <c r="B26" s="11" t="s">
        <v>133</v>
      </c>
      <c r="C26" s="12" t="n">
        <v>2</v>
      </c>
      <c r="D26" s="11" t="s">
        <v>127</v>
      </c>
      <c r="E26" s="12" t="n">
        <v>22</v>
      </c>
      <c r="F26" s="13" t="n">
        <v>8</v>
      </c>
      <c r="G26" s="14" t="n">
        <f aca="false">TIIE!G26</f>
        <v>8.2842</v>
      </c>
      <c r="H26" s="14" t="n">
        <f aca="false">ROUND(AVERAGE(TIIE!B68:B70),2)</f>
        <v>9.02</v>
      </c>
      <c r="I26" s="14" t="n">
        <f aca="false">ROUND(AVERAGE(TIIE!C68:C70),2)</f>
        <v>8.74</v>
      </c>
      <c r="J26" s="17" t="n">
        <v>14.9</v>
      </c>
      <c r="K26" s="16" t="n">
        <f aca="false">IF(J26="","",AVERAGE(J23:J26))</f>
        <v>13.875</v>
      </c>
      <c r="L26" s="17" t="n">
        <v>82.3</v>
      </c>
      <c r="M26" s="17" t="n">
        <v>35.8</v>
      </c>
      <c r="N26" s="17" t="n">
        <v>34.5</v>
      </c>
      <c r="O26" s="17" t="n">
        <v>46</v>
      </c>
      <c r="P26" s="16" t="n">
        <f aca="false">IF(OR(N26="",O26=""),"",ROUND(O26-N26,1))</f>
        <v>11.5</v>
      </c>
      <c r="Q26" s="17" t="n">
        <v>14.1</v>
      </c>
      <c r="R26" s="17" t="n">
        <v>21.4</v>
      </c>
      <c r="S26" s="16" t="n">
        <f aca="false">IF(OR(Q26="",R26=""),"",ROUND(R26-Q26,1))</f>
        <v>7.3</v>
      </c>
      <c r="T26" s="17" t="n">
        <v>56.5</v>
      </c>
      <c r="U26" s="17" t="n">
        <v>23.8</v>
      </c>
      <c r="V26" s="17" t="n">
        <v>19.7</v>
      </c>
      <c r="W26" s="17" t="n">
        <v>60.6</v>
      </c>
      <c r="X26" s="17" t="n">
        <v>29.9</v>
      </c>
      <c r="Y26" s="15" t="n">
        <f aca="false">ROUND(Y30/(1+'SIE variación anual'!N30/100),1)</f>
        <v>28.6</v>
      </c>
      <c r="Z26" s="15" t="n">
        <f aca="false">ROUND(Z30/(1+'SIE variación anual'!O30/100),1)</f>
        <v>39.7</v>
      </c>
      <c r="AA26" s="17" t="n">
        <v>10.6</v>
      </c>
      <c r="AB26" s="17" t="n">
        <v>1.7</v>
      </c>
      <c r="AC26" s="17" t="n">
        <v>0.8</v>
      </c>
      <c r="AD26" s="15" t="n">
        <f aca="false">ROUND(AD30/(1+'SIE variación anual'!S30/100),1)</f>
        <v>0.7</v>
      </c>
      <c r="AE26" s="15" t="n">
        <f aca="false">ROUND(AE30/(1+'SIE variación anual'!T30/100),1)</f>
        <v>1.7</v>
      </c>
      <c r="AF26" s="17" t="n">
        <v>0.3</v>
      </c>
      <c r="AG26" s="18" t="n">
        <f aca="false">IF(OR(AC26="",J26=""),"",AC26/(AC26+J26))</f>
        <v>0.0509554140127389</v>
      </c>
      <c r="AH26" s="18" t="n">
        <f aca="false">IF(OR(AD26="",Q26=""),"",AD26/(AD26+Q26))</f>
        <v>0.0472972972972973</v>
      </c>
      <c r="AI26" s="18" t="n">
        <f aca="false">IF(OR(AE26="",R26=""),"",AE26/(AE26+R26))</f>
        <v>0.0735930735930736</v>
      </c>
      <c r="AJ26" s="17" t="n">
        <v>46.7</v>
      </c>
      <c r="AK26" s="15" t="n">
        <f aca="false">ROUND(AK30/(1+'SIE variación anual'!W30/100),1)</f>
        <v>44.3</v>
      </c>
      <c r="AL26" s="15" t="n">
        <f aca="false">ROUND(AL30/(1+'SIE variación anual'!X30/100),1)</f>
        <v>58.8</v>
      </c>
      <c r="AM26" s="17" t="n">
        <v>39.2</v>
      </c>
      <c r="AN26" s="15" t="n">
        <f aca="false">ROUND(AN30/(1+'SIE variación anual'!Z30/100),1)</f>
        <v>0.5</v>
      </c>
      <c r="AO26" s="17"/>
      <c r="AP26" s="15" t="n">
        <f aca="false">ROUND(AP30/(1+'SIE variación anual'!AB30/100),1)</f>
        <v>2.7</v>
      </c>
      <c r="AQ26" s="17" t="n">
        <v>19.4</v>
      </c>
      <c r="AR26" s="17" t="n">
        <v>47.8</v>
      </c>
      <c r="AS26" s="17" t="n">
        <v>1.1</v>
      </c>
      <c r="AT26" s="17" t="n">
        <v>51.3</v>
      </c>
      <c r="AU26" s="17" t="n">
        <v>55.4</v>
      </c>
      <c r="AV26" s="19" t="n">
        <v>650</v>
      </c>
    </row>
    <row r="27" customFormat="false" ht="15" hidden="false" customHeight="false" outlineLevel="0" collapsed="false">
      <c r="A27" s="4" t="s">
        <v>135</v>
      </c>
      <c r="B27" s="11" t="s">
        <v>133</v>
      </c>
      <c r="C27" s="12" t="n">
        <v>3</v>
      </c>
      <c r="D27" s="11" t="s">
        <v>127</v>
      </c>
      <c r="E27" s="12" t="n">
        <v>23</v>
      </c>
      <c r="F27" s="13" t="n">
        <v>7.5</v>
      </c>
      <c r="G27" s="14" t="n">
        <f aca="false">TIIE!G27</f>
        <v>7.8818</v>
      </c>
      <c r="H27" s="14" t="n">
        <f aca="false">ROUND(AVERAGE(TIIE!B71:B73),2)</f>
        <v>8.12</v>
      </c>
      <c r="I27" s="14" t="n">
        <f aca="false">ROUND(AVERAGE(TIIE!C71:C73),2)</f>
        <v>7.86</v>
      </c>
      <c r="J27" s="17" t="n">
        <v>11.5</v>
      </c>
      <c r="K27" s="16" t="n">
        <f aca="false">IF(J27="","",AVERAGE(J24:J27))</f>
        <v>12.95</v>
      </c>
      <c r="L27" s="17" t="n">
        <v>85.2</v>
      </c>
      <c r="M27" s="17" t="n">
        <v>37.6</v>
      </c>
      <c r="N27" s="17" t="n">
        <v>36.6</v>
      </c>
      <c r="O27" s="17" t="n">
        <v>45.5</v>
      </c>
      <c r="P27" s="16" t="n">
        <f aca="false">IF(OR(N27="",O27=""),"",ROUND(O27-N27,1))</f>
        <v>8.9</v>
      </c>
      <c r="Q27" s="17"/>
      <c r="R27" s="17"/>
      <c r="S27" s="16" t="str">
        <f aca="false">IF(OR(Q27="",R27=""),"",ROUND(R27-Q27,1))</f>
        <v/>
      </c>
      <c r="T27" s="17" t="n">
        <v>56.3</v>
      </c>
      <c r="U27" s="17" t="n">
        <v>26.7</v>
      </c>
      <c r="V27" s="17" t="n">
        <v>17</v>
      </c>
      <c r="W27" s="17" t="n">
        <v>56.4</v>
      </c>
      <c r="X27" s="17" t="n">
        <v>25.3</v>
      </c>
      <c r="Y27" s="17"/>
      <c r="Z27" s="17"/>
      <c r="AA27" s="17" t="n">
        <v>12.9</v>
      </c>
      <c r="AB27" s="17" t="n">
        <v>1.7</v>
      </c>
      <c r="AC27" s="17" t="n">
        <v>1.3</v>
      </c>
      <c r="AD27" s="17"/>
      <c r="AE27" s="17"/>
      <c r="AF27" s="17" t="n">
        <v>0.3</v>
      </c>
      <c r="AG27" s="18" t="n">
        <f aca="false">IF(OR(AC27="",J27=""),"",AC27/(AC27+J27))</f>
        <v>0.1015625</v>
      </c>
      <c r="AH27" s="18" t="str">
        <f aca="false">IF(OR(AD27="",Q27=""),"",AD27/(AD27+Q27))</f>
        <v/>
      </c>
      <c r="AI27" s="18" t="str">
        <f aca="false">IF(OR(AE27="",R27=""),"",AE27/(AE27+R27))</f>
        <v/>
      </c>
      <c r="AJ27" s="17" t="n">
        <v>49</v>
      </c>
      <c r="AK27" s="17"/>
      <c r="AL27" s="17"/>
      <c r="AM27" s="17" t="n">
        <v>41.8</v>
      </c>
      <c r="AN27" s="17"/>
      <c r="AO27" s="17"/>
      <c r="AP27" s="17"/>
      <c r="AQ27" s="17" t="n">
        <v>21.3</v>
      </c>
      <c r="AR27" s="17" t="n">
        <v>41.5</v>
      </c>
      <c r="AS27" s="17" t="n">
        <v>2.2</v>
      </c>
      <c r="AT27" s="17" t="n">
        <v>52.6</v>
      </c>
      <c r="AU27" s="17" t="n">
        <v>58.8</v>
      </c>
      <c r="AV27" s="19"/>
    </row>
    <row r="28" customFormat="false" ht="15" hidden="false" customHeight="false" outlineLevel="0" collapsed="false">
      <c r="A28" s="4" t="s">
        <v>136</v>
      </c>
      <c r="B28" s="11" t="s">
        <v>133</v>
      </c>
      <c r="C28" s="12" t="n">
        <v>4</v>
      </c>
      <c r="D28" s="11" t="s">
        <v>127</v>
      </c>
      <c r="E28" s="12" t="n">
        <v>24</v>
      </c>
      <c r="F28" s="13" t="n">
        <v>7</v>
      </c>
      <c r="G28" s="14" t="n">
        <f aca="false">TIIE!G28</f>
        <v>7.3489</v>
      </c>
      <c r="H28" s="14" t="n">
        <f aca="false">ROUND(AVERAGE(TIIE!B74:B76),2)</f>
        <v>7.63</v>
      </c>
      <c r="I28" s="14" t="n">
        <f aca="false">ROUND(AVERAGE(TIIE!C74:C76),2)</f>
        <v>7.36</v>
      </c>
      <c r="J28" s="17" t="n">
        <v>15.3</v>
      </c>
      <c r="K28" s="16" t="n">
        <f aca="false">IF(J28="","",AVERAGE(J25:J28))</f>
        <v>13.75</v>
      </c>
      <c r="L28" s="17" t="n">
        <v>81.5</v>
      </c>
      <c r="M28" s="17" t="n">
        <v>38.4</v>
      </c>
      <c r="N28" s="17" t="n">
        <v>37.1</v>
      </c>
      <c r="O28" s="17" t="n">
        <v>48</v>
      </c>
      <c r="P28" s="16" t="n">
        <f aca="false">IF(OR(N28="",O28=""),"",ROUND(O28-N28,1))</f>
        <v>10.9</v>
      </c>
      <c r="Q28" s="17" t="n">
        <v>14.5</v>
      </c>
      <c r="R28" s="17" t="n">
        <v>22.2</v>
      </c>
      <c r="S28" s="16" t="n">
        <f aca="false">IF(OR(Q28="",R28=""),"",ROUND(R28-Q28,1))</f>
        <v>7.7</v>
      </c>
      <c r="T28" s="17" t="n">
        <v>50.8</v>
      </c>
      <c r="U28" s="17" t="n">
        <v>29.1</v>
      </c>
      <c r="V28" s="17" t="n">
        <v>20.1</v>
      </c>
      <c r="W28" s="17" t="n">
        <v>62.2</v>
      </c>
      <c r="X28" s="17" t="n">
        <v>26.5</v>
      </c>
      <c r="Y28" s="17"/>
      <c r="Z28" s="17"/>
      <c r="AA28" s="17" t="n">
        <v>11.2</v>
      </c>
      <c r="AB28" s="17" t="n">
        <v>2.4</v>
      </c>
      <c r="AC28" s="17" t="n">
        <v>0.5</v>
      </c>
      <c r="AD28" s="17"/>
      <c r="AE28" s="17"/>
      <c r="AF28" s="17" t="n">
        <v>0.2</v>
      </c>
      <c r="AG28" s="18" t="n">
        <f aca="false">IF(OR(AC28="",J28=""),"",AC28/(AC28+J28))</f>
        <v>0.0316455696202532</v>
      </c>
      <c r="AH28" s="18" t="str">
        <f aca="false">IF(OR(AD28="",Q28=""),"",AD28/(AD28+Q28))</f>
        <v/>
      </c>
      <c r="AI28" s="18" t="str">
        <f aca="false">IF(OR(AE28="",R28=""),"",AE28/(AE28+R28))</f>
        <v/>
      </c>
      <c r="AJ28" s="17" t="n">
        <v>47.6</v>
      </c>
      <c r="AK28" s="17"/>
      <c r="AL28" s="17"/>
      <c r="AM28" s="17" t="n">
        <v>40.9</v>
      </c>
      <c r="AN28" s="17"/>
      <c r="AO28" s="17"/>
      <c r="AP28" s="17"/>
      <c r="AQ28" s="17" t="n">
        <v>19.3</v>
      </c>
      <c r="AR28" s="17" t="n">
        <v>42.5</v>
      </c>
      <c r="AS28" s="17" t="n">
        <v>2</v>
      </c>
      <c r="AT28" s="17" t="n">
        <v>57.3</v>
      </c>
      <c r="AU28" s="17" t="n">
        <v>57.9</v>
      </c>
      <c r="AV28" s="19" t="n">
        <v>647</v>
      </c>
    </row>
    <row r="29" customFormat="false" ht="15" hidden="false" customHeight="false" outlineLevel="0" collapsed="false">
      <c r="A29" s="4" t="s">
        <v>137</v>
      </c>
      <c r="B29" s="11" t="s">
        <v>138</v>
      </c>
      <c r="C29" s="12" t="n">
        <v>1</v>
      </c>
      <c r="D29" s="11" t="s">
        <v>127</v>
      </c>
      <c r="E29" s="12" t="n">
        <v>25</v>
      </c>
      <c r="F29" s="13" t="n">
        <v>6.75</v>
      </c>
      <c r="G29" s="14" t="n">
        <f aca="false">TIIE!G29</f>
        <v>7.0272</v>
      </c>
      <c r="H29" s="14" t="n">
        <f aca="false">ROUND(AVERAGE(TIIE!B77:B79),2)</f>
        <v>7.28</v>
      </c>
      <c r="I29" s="14" t="n">
        <f aca="false">ROUND(AVERAGE(TIIE!C77:C79),2)</f>
        <v>7.01</v>
      </c>
      <c r="J29" s="17" t="n">
        <v>13.1</v>
      </c>
      <c r="K29" s="16" t="n">
        <f aca="false">IF(J29="","",AVERAGE(J26:J29))</f>
        <v>13.7</v>
      </c>
      <c r="L29" s="17" t="n">
        <v>79.2</v>
      </c>
      <c r="M29" s="17" t="n">
        <v>37</v>
      </c>
      <c r="N29" s="17" t="n">
        <v>35.8</v>
      </c>
      <c r="O29" s="17" t="n">
        <v>46.5</v>
      </c>
      <c r="P29" s="16" t="n">
        <f aca="false">IF(OR(N29="",O29=""),"",ROUND(O29-N29,1))</f>
        <v>10.7</v>
      </c>
      <c r="Q29" s="17" t="n">
        <v>12.1</v>
      </c>
      <c r="R29" s="17" t="n">
        <v>20.4</v>
      </c>
      <c r="S29" s="16" t="n">
        <f aca="false">IF(OR(Q29="",R29=""),"",ROUND(R29-Q29,1))</f>
        <v>8.3</v>
      </c>
      <c r="T29" s="17" t="n">
        <v>56.1</v>
      </c>
      <c r="U29" s="17" t="n">
        <v>23.5</v>
      </c>
      <c r="V29" s="17" t="n">
        <v>20.4</v>
      </c>
      <c r="W29" s="17" t="n">
        <v>64.3</v>
      </c>
      <c r="X29" s="17" t="n">
        <v>25</v>
      </c>
      <c r="Y29" s="17"/>
      <c r="Z29" s="17"/>
      <c r="AA29" s="17" t="n">
        <v>12.1</v>
      </c>
      <c r="AB29" s="17" t="n">
        <v>3.9</v>
      </c>
      <c r="AC29" s="17" t="n">
        <v>3.8</v>
      </c>
      <c r="AD29" s="17"/>
      <c r="AE29" s="17"/>
      <c r="AF29" s="17" t="n">
        <v>0</v>
      </c>
      <c r="AG29" s="18" t="n">
        <f aca="false">IF(OR(AC29="",J29=""),"",AC29/(AC29+J29))</f>
        <v>0.224852071005917</v>
      </c>
      <c r="AH29" s="18" t="str">
        <f aca="false">IF(OR(AD29="",Q29=""),"",AD29/(AD29+Q29))</f>
        <v/>
      </c>
      <c r="AI29" s="18" t="str">
        <f aca="false">IF(OR(AE29="",R29=""),"",AE29/(AE29+R29))</f>
        <v/>
      </c>
      <c r="AJ29" s="17" t="n">
        <v>44.9</v>
      </c>
      <c r="AK29" s="17"/>
      <c r="AL29" s="17"/>
      <c r="AM29" s="17" t="n">
        <v>32.7</v>
      </c>
      <c r="AN29" s="17" t="n">
        <v>0</v>
      </c>
      <c r="AO29" s="17"/>
      <c r="AP29" s="17"/>
      <c r="AQ29" s="17" t="n">
        <v>18.7</v>
      </c>
      <c r="AR29" s="17" t="n">
        <v>42</v>
      </c>
      <c r="AS29" s="17" t="n">
        <v>2.1</v>
      </c>
      <c r="AT29" s="17" t="n">
        <v>48.5</v>
      </c>
      <c r="AU29" s="17" t="n">
        <v>60.7</v>
      </c>
      <c r="AV29" s="19"/>
      <c r="AW29" s="20" t="s">
        <v>139</v>
      </c>
    </row>
    <row r="30" customFormat="false" ht="15" hidden="false" customHeight="false" outlineLevel="0" collapsed="false">
      <c r="A30" s="4" t="s">
        <v>140</v>
      </c>
      <c r="B30" s="11" t="s">
        <v>138</v>
      </c>
      <c r="C30" s="12" t="n">
        <v>2</v>
      </c>
      <c r="D30" s="11" t="s">
        <v>127</v>
      </c>
      <c r="E30" s="12" t="n">
        <v>26</v>
      </c>
      <c r="F30" s="13" t="n">
        <v>6.5</v>
      </c>
      <c r="G30" s="14" t="n">
        <f aca="false">TIIE!G30</f>
        <v>6.7559</v>
      </c>
      <c r="H30" s="14" t="n">
        <f aca="false">ROUND(AVERAGE(TIIE!B80:B82),2)</f>
        <v>6.86</v>
      </c>
      <c r="I30" s="14" t="n">
        <f aca="false">ROUND(AVERAGE(TIIE!C80:C82),2)</f>
        <v>6.6</v>
      </c>
      <c r="J30" s="17" t="n">
        <v>11.2</v>
      </c>
      <c r="K30" s="16" t="n">
        <f aca="false">IF(J30="","",AVERAGE(J27:J30))</f>
        <v>12.775</v>
      </c>
      <c r="L30" s="17" t="n">
        <v>82.1</v>
      </c>
      <c r="M30" s="17" t="n">
        <v>37.3</v>
      </c>
      <c r="N30" s="17" t="n">
        <v>35.7</v>
      </c>
      <c r="O30" s="17" t="n">
        <v>49.7</v>
      </c>
      <c r="P30" s="16" t="n">
        <f aca="false">IF(OR(N30="",O30=""),"",ROUND(O30-N30,1))</f>
        <v>14</v>
      </c>
      <c r="Q30" s="17" t="n">
        <v>9.9</v>
      </c>
      <c r="R30" s="17" t="n">
        <v>21.6</v>
      </c>
      <c r="S30" s="16" t="n">
        <f aca="false">IF(OR(Q30="",R30=""),"",ROUND(R30-Q30,1))</f>
        <v>11.7</v>
      </c>
      <c r="T30" s="17" t="n">
        <v>50.9</v>
      </c>
      <c r="U30" s="17" t="n">
        <v>30.7</v>
      </c>
      <c r="V30" s="17" t="n">
        <v>18.5</v>
      </c>
      <c r="W30" s="17" t="n">
        <v>60.9</v>
      </c>
      <c r="X30" s="17" t="n">
        <v>24.5</v>
      </c>
      <c r="Y30" s="17" t="n">
        <v>22.7</v>
      </c>
      <c r="Z30" s="17" t="n">
        <v>38.4</v>
      </c>
      <c r="AA30" s="17" t="n">
        <v>11.2</v>
      </c>
      <c r="AB30" s="17" t="n">
        <v>3</v>
      </c>
      <c r="AC30" s="17" t="n">
        <v>3.6</v>
      </c>
      <c r="AD30" s="17" t="n">
        <v>3.9</v>
      </c>
      <c r="AE30" s="17" t="n">
        <v>0.7</v>
      </c>
      <c r="AF30" s="17" t="n">
        <v>0.1</v>
      </c>
      <c r="AG30" s="18" t="n">
        <f aca="false">IF(OR(AC30="",J30=""),"",AC30/(AC30+J30))</f>
        <v>0.243243243243243</v>
      </c>
      <c r="AH30" s="18" t="n">
        <f aca="false">IF(OR(AD30="",Q30=""),"",AD30/(AD30+Q30))</f>
        <v>0.282608695652174</v>
      </c>
      <c r="AI30" s="18" t="n">
        <f aca="false">IF(OR(AE30="",R30=""),"",AE30/(AE30+R30))</f>
        <v>0.031390134529148</v>
      </c>
      <c r="AJ30" s="17" t="n">
        <v>39.4</v>
      </c>
      <c r="AK30" s="17" t="n">
        <v>35.3</v>
      </c>
      <c r="AL30" s="17" t="n">
        <v>53.7</v>
      </c>
      <c r="AM30" s="17" t="n">
        <v>34.9</v>
      </c>
      <c r="AN30" s="17" t="n">
        <v>0.2</v>
      </c>
      <c r="AO30" s="17" t="n">
        <v>0</v>
      </c>
      <c r="AP30" s="17" t="n">
        <v>0.9</v>
      </c>
      <c r="AQ30" s="17" t="n">
        <v>20.3</v>
      </c>
      <c r="AR30" s="17" t="n">
        <v>44.6</v>
      </c>
      <c r="AS30" s="17" t="n">
        <v>1.2</v>
      </c>
      <c r="AT30" s="17" t="n">
        <v>55.6</v>
      </c>
      <c r="AU30" s="17" t="n">
        <v>62.6</v>
      </c>
      <c r="AV30" s="19" t="n">
        <v>653</v>
      </c>
      <c r="AW30" s="20" t="s">
        <v>141</v>
      </c>
    </row>
    <row r="31" customFormat="false" ht="15" hidden="false" customHeight="false" outlineLevel="0" collapsed="false">
      <c r="A31" s="4" t="s">
        <v>142</v>
      </c>
      <c r="B31" s="11" t="s">
        <v>138</v>
      </c>
      <c r="C31" s="12" t="n">
        <v>3</v>
      </c>
      <c r="D31" s="11" t="s">
        <v>143</v>
      </c>
      <c r="E31" s="12" t="n">
        <v>27</v>
      </c>
      <c r="F31" s="13" t="n">
        <v>6.5</v>
      </c>
      <c r="G31" s="14" t="n">
        <f aca="false">TIIE!G31</f>
        <v>6.8162</v>
      </c>
      <c r="H31" s="14" t="n">
        <f aca="false">ROUND(AVERAGE(TIIE!B83:B85),2)</f>
        <v>6.76</v>
      </c>
      <c r="I31" s="14" t="n">
        <f aca="false">ROUND(AVERAGE(TIIE!C83:C85),2)</f>
        <v>6.51</v>
      </c>
      <c r="J31" s="21"/>
      <c r="K31" s="16" t="str">
        <f aca="false">IF(J31="","",AVERAGE(J28:J31))</f>
        <v/>
      </c>
      <c r="L31" s="21"/>
      <c r="M31" s="21"/>
      <c r="N31" s="21"/>
      <c r="O31" s="21"/>
      <c r="P31" s="16" t="str">
        <f aca="false">IF(OR(N31="",O31=""),"",ROUND(O31-N31,1))</f>
        <v/>
      </c>
      <c r="Q31" s="21"/>
      <c r="R31" s="21"/>
      <c r="S31" s="16" t="str">
        <f aca="false">IF(OR(Q31="",R31=""),"",ROUND(R31-Q31,1))</f>
        <v/>
      </c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18" t="str">
        <f aca="false">IF(OR(AC31="",J31=""),"",AC31/(AC31+J31))</f>
        <v/>
      </c>
      <c r="AH31" s="18" t="str">
        <f aca="false">IF(OR(AD31="",Q31=""),"",AD31/(AD31+Q31))</f>
        <v/>
      </c>
      <c r="AI31" s="18" t="str">
        <f aca="false">IF(OR(AE31="",R31=""),"",AE31/(AE31+R31))</f>
        <v/>
      </c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2"/>
      <c r="AW31" s="20" t="s">
        <v>144</v>
      </c>
    </row>
    <row r="33" customFormat="false" ht="15" hidden="false" customHeight="false" outlineLevel="0" collapsed="false">
      <c r="A33" s="20" t="s">
        <v>145</v>
      </c>
    </row>
    <row r="34" customFormat="false" ht="15" hidden="false" customHeight="false" outlineLevel="0" collapsed="false">
      <c r="A34" s="20" t="s">
        <v>146</v>
      </c>
    </row>
    <row r="35" customFormat="false" ht="15" hidden="false" customHeight="false" outlineLevel="0" collapsed="false">
      <c r="A35" s="20" t="s">
        <v>147</v>
      </c>
    </row>
    <row r="54" customFormat="false" ht="15" hidden="false" customHeight="false" outlineLevel="0" collapsed="false">
      <c r="A54" s="23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7"/>
    <col collapsed="false" customWidth="true" hidden="false" outlineLevel="0" max="5" min="5" style="0" width="14"/>
    <col collapsed="false" customWidth="true" hidden="false" outlineLevel="0" max="10" min="6" style="0" width="12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22"/>
    <col collapsed="false" customWidth="true" hidden="false" outlineLevel="0" max="15" min="14" style="0" width="13"/>
  </cols>
  <sheetData>
    <row r="1" customFormat="false" ht="17.35" hidden="false" customHeight="false" outlineLevel="0" collapsed="false">
      <c r="A1" s="1" t="s">
        <v>149</v>
      </c>
    </row>
    <row r="2" customFormat="false" ht="15" hidden="false" customHeight="false" outlineLevel="0" collapsed="false">
      <c r="A2" s="2" t="s">
        <v>150</v>
      </c>
    </row>
    <row r="4" customFormat="false" ht="63.75" hidden="false" customHeight="true" outlineLevel="0" collapsed="false">
      <c r="A4" s="10" t="s">
        <v>51</v>
      </c>
      <c r="B4" s="10" t="s">
        <v>52</v>
      </c>
      <c r="C4" s="10" t="s">
        <v>53</v>
      </c>
      <c r="D4" s="10" t="s">
        <v>55</v>
      </c>
      <c r="E4" s="10" t="s">
        <v>151</v>
      </c>
      <c r="F4" s="10" t="s">
        <v>152</v>
      </c>
      <c r="G4" s="10" t="s">
        <v>58</v>
      </c>
      <c r="H4" s="10" t="s">
        <v>153</v>
      </c>
      <c r="I4" s="10" t="s">
        <v>154</v>
      </c>
      <c r="J4" s="10" t="s">
        <v>155</v>
      </c>
      <c r="K4" s="10" t="s">
        <v>156</v>
      </c>
      <c r="L4" s="10" t="s">
        <v>157</v>
      </c>
      <c r="M4" s="10" t="s">
        <v>158</v>
      </c>
      <c r="N4" s="10" t="s">
        <v>159</v>
      </c>
      <c r="O4" s="10" t="s">
        <v>160</v>
      </c>
    </row>
    <row r="5" customFormat="false" ht="15" hidden="false" customHeight="false" outlineLevel="0" collapsed="false">
      <c r="A5" s="4" t="s">
        <v>100</v>
      </c>
      <c r="B5" s="11" t="s">
        <v>101</v>
      </c>
      <c r="C5" s="12" t="n">
        <v>1</v>
      </c>
      <c r="D5" s="12" t="n">
        <v>1</v>
      </c>
      <c r="E5" s="11" t="s">
        <v>161</v>
      </c>
      <c r="F5" s="14" t="n">
        <f aca="false">Series!F5</f>
        <v>6.5</v>
      </c>
      <c r="G5" s="14" t="n">
        <f aca="false">Series!H5</f>
        <v>7.34</v>
      </c>
      <c r="H5" s="24" t="n">
        <f aca="false">Series!J5</f>
        <v>14.8</v>
      </c>
      <c r="I5" s="24" t="n">
        <f aca="false">Series!M5</f>
        <v>39.4</v>
      </c>
      <c r="J5" s="24" t="n">
        <f aca="false">Series!AJ5</f>
        <v>49.1</v>
      </c>
      <c r="K5" s="24" t="n">
        <f aca="false">Series!T5</f>
        <v>59.3</v>
      </c>
      <c r="L5" s="24" t="n">
        <f aca="false">Series!J5</f>
        <v>14.8</v>
      </c>
      <c r="M5" s="24" t="n">
        <f aca="false">'Muestra anterior'!B5</f>
        <v>24.2</v>
      </c>
      <c r="N5" s="16" t="n">
        <f aca="false">INTERCEPT($L$5:$L$30,$D$5:$D$30)+SLOPE($L$5:$L$30,$D$5:$D$30)*D5</f>
        <v>13.4923076923077</v>
      </c>
    </row>
    <row r="6" customFormat="false" ht="15" hidden="false" customHeight="false" outlineLevel="0" collapsed="false">
      <c r="A6" s="4" t="s">
        <v>104</v>
      </c>
      <c r="B6" s="11" t="s">
        <v>101</v>
      </c>
      <c r="C6" s="12" t="n">
        <v>2</v>
      </c>
      <c r="D6" s="12" t="n">
        <v>2</v>
      </c>
      <c r="E6" s="11" t="s">
        <v>161</v>
      </c>
      <c r="F6" s="14" t="n">
        <f aca="false">Series!F6</f>
        <v>5</v>
      </c>
      <c r="G6" s="14" t="n">
        <f aca="false">Series!H6</f>
        <v>6.06</v>
      </c>
      <c r="H6" s="24" t="n">
        <f aca="false">Series!J6</f>
        <v>10.6</v>
      </c>
      <c r="I6" s="24" t="n">
        <f aca="false">Series!M6</f>
        <v>37.2</v>
      </c>
      <c r="J6" s="24" t="n">
        <f aca="false">Series!AJ6</f>
        <v>36.8</v>
      </c>
      <c r="K6" s="24" t="n">
        <f aca="false">Series!T6</f>
        <v>48.5</v>
      </c>
      <c r="L6" s="24" t="n">
        <f aca="false">Series!J6</f>
        <v>10.6</v>
      </c>
      <c r="M6" s="24" t="n">
        <f aca="false">'Muestra anterior'!B6</f>
        <v>21.6</v>
      </c>
      <c r="N6" s="16" t="n">
        <f aca="false">INTERCEPT($L$5:$L$30,$D$5:$D$30)+SLOPE($L$5:$L$30,$D$5:$D$30)*D6</f>
        <v>13.5129230769231</v>
      </c>
    </row>
    <row r="7" customFormat="false" ht="15" hidden="false" customHeight="false" outlineLevel="0" collapsed="false">
      <c r="A7" s="4" t="s">
        <v>105</v>
      </c>
      <c r="B7" s="11" t="s">
        <v>101</v>
      </c>
      <c r="C7" s="12" t="n">
        <v>3</v>
      </c>
      <c r="D7" s="12" t="n">
        <v>3</v>
      </c>
      <c r="E7" s="11" t="s">
        <v>161</v>
      </c>
      <c r="F7" s="14" t="n">
        <f aca="false">Series!F7</f>
        <v>4.25</v>
      </c>
      <c r="G7" s="14" t="n">
        <f aca="false">Series!H7</f>
        <v>4.97</v>
      </c>
      <c r="H7" s="24" t="n">
        <f aca="false">Series!J7</f>
        <v>12.8</v>
      </c>
      <c r="I7" s="24" t="n">
        <f aca="false">Series!M7</f>
        <v>36.9</v>
      </c>
      <c r="J7" s="24" t="n">
        <f aca="false">Series!AJ7</f>
        <v>39.9</v>
      </c>
      <c r="K7" s="24" t="n">
        <f aca="false">Series!T7</f>
        <v>46.1</v>
      </c>
      <c r="L7" s="24" t="n">
        <f aca="false">Series!J7</f>
        <v>12.8</v>
      </c>
      <c r="M7" s="24" t="n">
        <f aca="false">'Muestra anterior'!B7</f>
        <v>19</v>
      </c>
      <c r="N7" s="16" t="n">
        <f aca="false">INTERCEPT($L$5:$L$30,$D$5:$D$30)+SLOPE($L$5:$L$30,$D$5:$D$30)*D7</f>
        <v>13.5335384615385</v>
      </c>
    </row>
    <row r="8" customFormat="false" ht="15" hidden="false" customHeight="false" outlineLevel="0" collapsed="false">
      <c r="A8" s="4" t="s">
        <v>106</v>
      </c>
      <c r="B8" s="11" t="s">
        <v>101</v>
      </c>
      <c r="C8" s="12" t="n">
        <v>4</v>
      </c>
      <c r="D8" s="12" t="n">
        <v>4</v>
      </c>
      <c r="E8" s="11" t="s">
        <v>161</v>
      </c>
      <c r="F8" s="14" t="n">
        <f aca="false">Series!F8</f>
        <v>4.25</v>
      </c>
      <c r="G8" s="14" t="n">
        <f aca="false">Series!H8</f>
        <v>4.51</v>
      </c>
      <c r="H8" s="24" t="n">
        <f aca="false">Series!J8</f>
        <v>13.6</v>
      </c>
      <c r="I8" s="24" t="n">
        <f aca="false">Series!M8</f>
        <v>39.7</v>
      </c>
      <c r="J8" s="24" t="n">
        <f aca="false">Series!AJ8</f>
        <v>44.7</v>
      </c>
      <c r="K8" s="24" t="n">
        <f aca="false">Series!T8</f>
        <v>47.3</v>
      </c>
      <c r="L8" s="24" t="n">
        <f aca="false">Series!J8</f>
        <v>13.6</v>
      </c>
      <c r="M8" s="24" t="n">
        <f aca="false">'Muestra anterior'!B8</f>
        <v>16.8</v>
      </c>
      <c r="N8" s="16" t="n">
        <f aca="false">INTERCEPT($L$5:$L$30,$D$5:$D$30)+SLOPE($L$5:$L$30,$D$5:$D$30)*D8</f>
        <v>13.5541538461538</v>
      </c>
    </row>
    <row r="9" customFormat="false" ht="15" hidden="false" customHeight="false" outlineLevel="0" collapsed="false">
      <c r="A9" s="4" t="s">
        <v>108</v>
      </c>
      <c r="B9" s="11" t="s">
        <v>109</v>
      </c>
      <c r="C9" s="12" t="n">
        <v>1</v>
      </c>
      <c r="D9" s="12" t="n">
        <v>5</v>
      </c>
      <c r="E9" s="11" t="s">
        <v>161</v>
      </c>
      <c r="F9" s="14" t="n">
        <f aca="false">Series!F9</f>
        <v>4</v>
      </c>
      <c r="G9" s="14" t="n">
        <f aca="false">Series!H9</f>
        <v>4.37</v>
      </c>
      <c r="H9" s="24" t="n">
        <f aca="false">Series!J9</f>
        <v>15.5</v>
      </c>
      <c r="I9" s="24" t="n">
        <f aca="false">Series!M9</f>
        <v>39.1</v>
      </c>
      <c r="J9" s="24" t="n">
        <f aca="false">Series!AJ9</f>
        <v>62.5</v>
      </c>
      <c r="K9" s="24" t="n">
        <f aca="false">Series!T9</f>
        <v>51.6</v>
      </c>
      <c r="L9" s="24" t="n">
        <f aca="false">Series!J9</f>
        <v>15.5</v>
      </c>
      <c r="M9" s="24" t="n">
        <f aca="false">'Muestra anterior'!B9</f>
        <v>20.8</v>
      </c>
      <c r="N9" s="16" t="n">
        <f aca="false">INTERCEPT($L$5:$L$30,$D$5:$D$30)+SLOPE($L$5:$L$30,$D$5:$D$30)*D9</f>
        <v>13.5747692307692</v>
      </c>
    </row>
    <row r="10" customFormat="false" ht="15" hidden="false" customHeight="false" outlineLevel="0" collapsed="false">
      <c r="A10" s="4" t="s">
        <v>110</v>
      </c>
      <c r="B10" s="11" t="s">
        <v>109</v>
      </c>
      <c r="C10" s="12" t="n">
        <v>2</v>
      </c>
      <c r="D10" s="12" t="n">
        <v>6</v>
      </c>
      <c r="E10" s="11" t="s">
        <v>161</v>
      </c>
      <c r="F10" s="14" t="n">
        <f aca="false">Series!F10</f>
        <v>4.25</v>
      </c>
      <c r="G10" s="14" t="n">
        <f aca="false">Series!H10</f>
        <v>4.3</v>
      </c>
      <c r="H10" s="24" t="n">
        <f aca="false">Series!J10</f>
        <v>11</v>
      </c>
      <c r="I10" s="24" t="n">
        <f aca="false">Series!M10</f>
        <v>36.6</v>
      </c>
      <c r="J10" s="24" t="n">
        <f aca="false">Series!AJ10</f>
        <v>32.5</v>
      </c>
      <c r="K10" s="24" t="n">
        <f aca="false">Series!T10</f>
        <v>59.5</v>
      </c>
      <c r="L10" s="24" t="n">
        <f aca="false">Series!J10</f>
        <v>11</v>
      </c>
      <c r="M10" s="24" t="n">
        <f aca="false">'Muestra anterior'!B10</f>
        <v>17.4</v>
      </c>
      <c r="N10" s="16" t="n">
        <f aca="false">INTERCEPT($L$5:$L$30,$D$5:$D$30)+SLOPE($L$5:$L$30,$D$5:$D$30)*D10</f>
        <v>13.5953846153846</v>
      </c>
    </row>
    <row r="11" customFormat="false" ht="15" hidden="false" customHeight="false" outlineLevel="0" collapsed="false">
      <c r="A11" s="4" t="s">
        <v>112</v>
      </c>
      <c r="B11" s="11" t="s">
        <v>109</v>
      </c>
      <c r="C11" s="12" t="n">
        <v>3</v>
      </c>
      <c r="D11" s="12" t="n">
        <v>7</v>
      </c>
      <c r="E11" s="11" t="s">
        <v>161</v>
      </c>
      <c r="F11" s="14" t="n">
        <f aca="false">Series!F11</f>
        <v>4.75</v>
      </c>
      <c r="G11" s="14" t="n">
        <f aca="false">Series!H11</f>
        <v>4.64</v>
      </c>
      <c r="H11" s="24" t="n">
        <f aca="false">Series!J11</f>
        <v>11.5</v>
      </c>
      <c r="I11" s="24" t="n">
        <f aca="false">Series!M11</f>
        <v>37.5</v>
      </c>
      <c r="J11" s="24" t="n">
        <f aca="false">Series!AJ11</f>
        <v>36.2</v>
      </c>
      <c r="K11" s="24" t="n">
        <f aca="false">Series!T11</f>
        <v>51</v>
      </c>
      <c r="L11" s="24" t="n">
        <f aca="false">Series!J11</f>
        <v>11.5</v>
      </c>
      <c r="M11" s="24" t="n">
        <f aca="false">'Muestra anterior'!B11</f>
        <v>19.3</v>
      </c>
      <c r="N11" s="16" t="n">
        <f aca="false">INTERCEPT($L$5:$L$30,$D$5:$D$30)+SLOPE($L$5:$L$30,$D$5:$D$30)*D11</f>
        <v>13.616</v>
      </c>
    </row>
    <row r="12" customFormat="false" ht="15" hidden="false" customHeight="false" outlineLevel="0" collapsed="false">
      <c r="A12" s="4" t="s">
        <v>113</v>
      </c>
      <c r="B12" s="11" t="s">
        <v>109</v>
      </c>
      <c r="C12" s="12" t="n">
        <v>4</v>
      </c>
      <c r="D12" s="12" t="n">
        <v>8</v>
      </c>
      <c r="E12" s="11" t="s">
        <v>161</v>
      </c>
      <c r="F12" s="14" t="n">
        <f aca="false">Series!F12</f>
        <v>5.5</v>
      </c>
      <c r="G12" s="14" t="n">
        <f aca="false">Series!H12</f>
        <v>5.18</v>
      </c>
      <c r="H12" s="24" t="n">
        <f aca="false">Series!J12</f>
        <v>9</v>
      </c>
      <c r="I12" s="24" t="n">
        <f aca="false">Series!M12</f>
        <v>37.5</v>
      </c>
      <c r="J12" s="24" t="n">
        <f aca="false">Series!AJ12</f>
        <v>36.4</v>
      </c>
      <c r="K12" s="24" t="n">
        <f aca="false">Series!T12</f>
        <v>49.8</v>
      </c>
      <c r="L12" s="24" t="n">
        <f aca="false">Series!J12</f>
        <v>9</v>
      </c>
      <c r="M12" s="24" t="n">
        <f aca="false">'Muestra anterior'!B12</f>
        <v>17.8</v>
      </c>
      <c r="N12" s="16" t="n">
        <f aca="false">INTERCEPT($L$5:$L$30,$D$5:$D$30)+SLOPE($L$5:$L$30,$D$5:$D$30)*D12</f>
        <v>13.6366153846154</v>
      </c>
    </row>
    <row r="13" customFormat="false" ht="15" hidden="false" customHeight="false" outlineLevel="0" collapsed="false">
      <c r="A13" s="4" t="s">
        <v>114</v>
      </c>
      <c r="B13" s="11" t="s">
        <v>115</v>
      </c>
      <c r="C13" s="12" t="n">
        <v>1</v>
      </c>
      <c r="D13" s="12" t="n">
        <v>9</v>
      </c>
      <c r="E13" s="11" t="s">
        <v>161</v>
      </c>
      <c r="F13" s="14" t="n">
        <f aca="false">Series!F13</f>
        <v>6.5</v>
      </c>
      <c r="G13" s="14" t="n">
        <f aca="false">Series!H13</f>
        <v>6.02</v>
      </c>
      <c r="H13" s="24" t="n">
        <f aca="false">Series!J13</f>
        <v>15.2</v>
      </c>
      <c r="I13" s="24" t="n">
        <f aca="false">Series!M13</f>
        <v>41.9</v>
      </c>
      <c r="J13" s="24" t="n">
        <f aca="false">Series!AJ13</f>
        <v>15.1</v>
      </c>
      <c r="K13" s="24" t="n">
        <f aca="false">Series!T13</f>
        <v>51.2</v>
      </c>
      <c r="L13" s="24" t="n">
        <f aca="false">Series!J13</f>
        <v>15.2</v>
      </c>
      <c r="M13" s="24" t="n">
        <f aca="false">'Muestra anterior'!B13</f>
        <v>19.5</v>
      </c>
      <c r="N13" s="16" t="n">
        <f aca="false">INTERCEPT($L$5:$L$30,$D$5:$D$30)+SLOPE($L$5:$L$30,$D$5:$D$30)*D13</f>
        <v>13.6572307692308</v>
      </c>
    </row>
    <row r="14" customFormat="false" ht="15" hidden="false" customHeight="false" outlineLevel="0" collapsed="false">
      <c r="A14" s="4" t="s">
        <v>116</v>
      </c>
      <c r="B14" s="11" t="s">
        <v>115</v>
      </c>
      <c r="C14" s="12" t="n">
        <v>2</v>
      </c>
      <c r="D14" s="12" t="n">
        <v>10</v>
      </c>
      <c r="E14" s="11" t="s">
        <v>161</v>
      </c>
      <c r="F14" s="14" t="n">
        <f aca="false">Series!F14</f>
        <v>7.75</v>
      </c>
      <c r="G14" s="14" t="n">
        <f aca="false">Series!H14</f>
        <v>7.05</v>
      </c>
      <c r="H14" s="24" t="n">
        <f aca="false">Series!J14</f>
        <v>15.9</v>
      </c>
      <c r="I14" s="24" t="n">
        <f aca="false">Series!M14</f>
        <v>40.2</v>
      </c>
      <c r="J14" s="24" t="n">
        <f aca="false">Series!AJ14</f>
        <v>12.1</v>
      </c>
      <c r="K14" s="24" t="n">
        <f aca="false">Series!T14</f>
        <v>49.6</v>
      </c>
      <c r="L14" s="24" t="n">
        <f aca="false">Series!J14</f>
        <v>15.9</v>
      </c>
      <c r="M14" s="24" t="n">
        <f aca="false">'Muestra anterior'!B14</f>
        <v>21</v>
      </c>
      <c r="N14" s="16" t="n">
        <f aca="false">INTERCEPT($L$5:$L$30,$D$5:$D$30)+SLOPE($L$5:$L$30,$D$5:$D$30)*D14</f>
        <v>13.6778461538462</v>
      </c>
    </row>
    <row r="15" customFormat="false" ht="15" hidden="false" customHeight="false" outlineLevel="0" collapsed="false">
      <c r="A15" s="4" t="s">
        <v>117</v>
      </c>
      <c r="B15" s="11" t="s">
        <v>115</v>
      </c>
      <c r="C15" s="12" t="n">
        <v>3</v>
      </c>
      <c r="D15" s="12" t="n">
        <v>11</v>
      </c>
      <c r="E15" s="11" t="s">
        <v>161</v>
      </c>
      <c r="F15" s="14" t="n">
        <f aca="false">Series!F15</f>
        <v>9.25</v>
      </c>
      <c r="G15" s="14" t="n">
        <f aca="false">Series!H15</f>
        <v>8.48</v>
      </c>
      <c r="H15" s="24" t="n">
        <f aca="false">Series!J15</f>
        <v>16.5</v>
      </c>
      <c r="I15" s="24" t="n">
        <f aca="false">Series!M15</f>
        <v>37.9</v>
      </c>
      <c r="J15" s="24" t="n">
        <f aca="false">Series!AJ15</f>
        <v>23.8</v>
      </c>
      <c r="K15" s="24" t="n">
        <f aca="false">Series!T15</f>
        <v>55.2</v>
      </c>
      <c r="L15" s="24" t="n">
        <f aca="false">Series!J15</f>
        <v>16.5</v>
      </c>
      <c r="N15" s="16" t="n">
        <f aca="false">INTERCEPT($L$5:$L$30,$D$5:$D$30)+SLOPE($L$5:$L$30,$D$5:$D$30)*D15</f>
        <v>13.6984615384615</v>
      </c>
    </row>
    <row r="16" customFormat="false" ht="15" hidden="false" customHeight="false" outlineLevel="0" collapsed="false">
      <c r="A16" s="4" t="s">
        <v>118</v>
      </c>
      <c r="B16" s="11" t="s">
        <v>115</v>
      </c>
      <c r="C16" s="12" t="n">
        <v>4</v>
      </c>
      <c r="D16" s="12" t="n">
        <v>12</v>
      </c>
      <c r="E16" s="11" t="s">
        <v>161</v>
      </c>
      <c r="F16" s="14" t="n">
        <f aca="false">Series!F16</f>
        <v>10.5</v>
      </c>
      <c r="G16" s="14" t="n">
        <f aca="false">Series!H16</f>
        <v>10.03</v>
      </c>
      <c r="H16" s="24" t="n">
        <f aca="false">Series!J16</f>
        <v>13.8</v>
      </c>
      <c r="I16" s="24" t="n">
        <f aca="false">Series!M16</f>
        <v>37.1</v>
      </c>
      <c r="J16" s="24" t="n">
        <f aca="false">Series!AJ16</f>
        <v>23.7</v>
      </c>
      <c r="K16" s="24" t="n">
        <f aca="false">Series!T16</f>
        <v>61.3</v>
      </c>
      <c r="L16" s="24" t="n">
        <f aca="false">Series!J16</f>
        <v>13.8</v>
      </c>
      <c r="N16" s="16" t="n">
        <f aca="false">INTERCEPT($L$5:$L$30,$D$5:$D$30)+SLOPE($L$5:$L$30,$D$5:$D$30)*D16</f>
        <v>13.7190769230769</v>
      </c>
    </row>
    <row r="17" customFormat="false" ht="15" hidden="false" customHeight="false" outlineLevel="0" collapsed="false">
      <c r="A17" s="4" t="s">
        <v>119</v>
      </c>
      <c r="B17" s="11" t="s">
        <v>120</v>
      </c>
      <c r="C17" s="12" t="n">
        <v>1</v>
      </c>
      <c r="D17" s="12" t="n">
        <v>13</v>
      </c>
      <c r="E17" s="11" t="s">
        <v>161</v>
      </c>
      <c r="F17" s="14" t="n">
        <f aca="false">Series!F17</f>
        <v>11.25</v>
      </c>
      <c r="G17" s="14" t="n">
        <f aca="false">Series!H17</f>
        <v>11.07</v>
      </c>
      <c r="H17" s="24" t="n">
        <f aca="false">Series!J17</f>
        <v>15.9</v>
      </c>
      <c r="I17" s="24" t="n">
        <f aca="false">Series!M17</f>
        <v>36.8</v>
      </c>
      <c r="J17" s="24" t="n">
        <f aca="false">Series!AJ17</f>
        <v>28.9</v>
      </c>
      <c r="K17" s="24" t="n">
        <f aca="false">Series!T17</f>
        <v>57.7</v>
      </c>
      <c r="L17" s="24" t="n">
        <f aca="false">Series!J17</f>
        <v>15.9</v>
      </c>
      <c r="N17" s="16" t="n">
        <f aca="false">INTERCEPT($L$5:$L$30,$D$5:$D$30)+SLOPE($L$5:$L$30,$D$5:$D$30)*D17</f>
        <v>13.7396923076923</v>
      </c>
      <c r="O17" s="16" t="n">
        <f aca="false">INTERCEPT($L$17:$L$30,$D$17:$D$30)+SLOPE($L$17:$L$30,$D$17:$D$30)*D17</f>
        <v>15.7685714285714</v>
      </c>
    </row>
    <row r="18" customFormat="false" ht="15" hidden="false" customHeight="false" outlineLevel="0" collapsed="false">
      <c r="A18" s="4" t="s">
        <v>121</v>
      </c>
      <c r="B18" s="11" t="s">
        <v>120</v>
      </c>
      <c r="C18" s="12" t="n">
        <v>2</v>
      </c>
      <c r="D18" s="12" t="n">
        <v>14</v>
      </c>
      <c r="E18" s="11" t="s">
        <v>161</v>
      </c>
      <c r="F18" s="14" t="n">
        <f aca="false">Series!F18</f>
        <v>11.25</v>
      </c>
      <c r="G18" s="14" t="n">
        <f aca="false">Series!H18</f>
        <v>11.52</v>
      </c>
      <c r="H18" s="24" t="n">
        <f aca="false">Series!J18</f>
        <v>14.8</v>
      </c>
      <c r="I18" s="24" t="n">
        <f aca="false">Series!M18</f>
        <v>37.4</v>
      </c>
      <c r="J18" s="24" t="n">
        <f aca="false">Series!AJ18</f>
        <v>27.6</v>
      </c>
      <c r="K18" s="24" t="n">
        <f aca="false">Series!T18</f>
        <v>57.2</v>
      </c>
      <c r="L18" s="24" t="n">
        <f aca="false">Series!J18</f>
        <v>14.8</v>
      </c>
      <c r="N18" s="16" t="n">
        <f aca="false">INTERCEPT($L$5:$L$30,$D$5:$D$30)+SLOPE($L$5:$L$30,$D$5:$D$30)*D18</f>
        <v>13.7603076923077</v>
      </c>
      <c r="O18" s="16" t="n">
        <f aca="false">INTERCEPT($L$17:$L$30,$D$17:$D$30)+SLOPE($L$17:$L$30,$D$17:$D$30)*D18</f>
        <v>15.5107692307692</v>
      </c>
    </row>
    <row r="19" customFormat="false" ht="15" hidden="false" customHeight="false" outlineLevel="0" collapsed="false">
      <c r="A19" s="4" t="s">
        <v>123</v>
      </c>
      <c r="B19" s="11" t="s">
        <v>120</v>
      </c>
      <c r="C19" s="12" t="n">
        <v>3</v>
      </c>
      <c r="D19" s="12" t="n">
        <v>15</v>
      </c>
      <c r="E19" s="11" t="s">
        <v>161</v>
      </c>
      <c r="F19" s="14" t="n">
        <f aca="false">Series!F19</f>
        <v>11.25</v>
      </c>
      <c r="G19" s="14" t="n">
        <f aca="false">Series!H19</f>
        <v>11.5</v>
      </c>
      <c r="H19" s="24" t="n">
        <f aca="false">Series!J19</f>
        <v>15.2</v>
      </c>
      <c r="I19" s="24" t="n">
        <f aca="false">Series!M19</f>
        <v>36.3</v>
      </c>
      <c r="J19" s="24" t="n">
        <f aca="false">Series!AJ19</f>
        <v>38.9</v>
      </c>
      <c r="K19" s="24" t="n">
        <f aca="false">Series!T19</f>
        <v>59.4</v>
      </c>
      <c r="L19" s="24" t="n">
        <f aca="false">Series!J19</f>
        <v>15.2</v>
      </c>
      <c r="N19" s="16" t="n">
        <f aca="false">INTERCEPT($L$5:$L$30,$D$5:$D$30)+SLOPE($L$5:$L$30,$D$5:$D$30)*D19</f>
        <v>13.7809230769231</v>
      </c>
      <c r="O19" s="16" t="n">
        <f aca="false">INTERCEPT($L$17:$L$30,$D$17:$D$30)+SLOPE($L$17:$L$30,$D$17:$D$30)*D19</f>
        <v>15.252967032967</v>
      </c>
    </row>
    <row r="20" customFormat="false" ht="15" hidden="false" customHeight="false" outlineLevel="0" collapsed="false">
      <c r="A20" s="4" t="s">
        <v>124</v>
      </c>
      <c r="B20" s="11" t="s">
        <v>120</v>
      </c>
      <c r="C20" s="12" t="n">
        <v>4</v>
      </c>
      <c r="D20" s="12" t="n">
        <v>16</v>
      </c>
      <c r="E20" s="11" t="s">
        <v>161</v>
      </c>
      <c r="F20" s="14" t="n">
        <f aca="false">Series!F20</f>
        <v>11.25</v>
      </c>
      <c r="G20" s="14" t="n">
        <f aca="false">Series!H20</f>
        <v>11.5</v>
      </c>
      <c r="H20" s="24" t="n">
        <f aca="false">Series!J20</f>
        <v>15.6</v>
      </c>
      <c r="I20" s="24" t="n">
        <f aca="false">Series!M20</f>
        <v>40.6</v>
      </c>
      <c r="J20" s="24" t="n">
        <f aca="false">Series!AJ20</f>
        <v>28.7</v>
      </c>
      <c r="K20" s="24" t="n">
        <f aca="false">Series!T20</f>
        <v>56.1</v>
      </c>
      <c r="L20" s="24" t="n">
        <f aca="false">Series!J20</f>
        <v>15.6</v>
      </c>
      <c r="N20" s="16" t="n">
        <f aca="false">INTERCEPT($L$5:$L$30,$D$5:$D$30)+SLOPE($L$5:$L$30,$D$5:$D$30)*D20</f>
        <v>13.8015384615385</v>
      </c>
      <c r="O20" s="16" t="n">
        <f aca="false">INTERCEPT($L$17:$L$30,$D$17:$D$30)+SLOPE($L$17:$L$30,$D$17:$D$30)*D20</f>
        <v>14.9951648351648</v>
      </c>
    </row>
    <row r="21" customFormat="false" ht="15" hidden="false" customHeight="false" outlineLevel="0" collapsed="false">
      <c r="A21" s="4" t="s">
        <v>125</v>
      </c>
      <c r="B21" s="11" t="s">
        <v>126</v>
      </c>
      <c r="C21" s="12" t="n">
        <v>1</v>
      </c>
      <c r="D21" s="12" t="n">
        <v>17</v>
      </c>
      <c r="E21" s="11" t="s">
        <v>161</v>
      </c>
      <c r="F21" s="14" t="n">
        <f aca="false">Series!F21</f>
        <v>11</v>
      </c>
      <c r="G21" s="14" t="n">
        <f aca="false">Series!H21</f>
        <v>11.48</v>
      </c>
      <c r="H21" s="24" t="n">
        <f aca="false">Series!J21</f>
        <v>16.7</v>
      </c>
      <c r="I21" s="24" t="n">
        <f aca="false">Series!M21</f>
        <v>39.5</v>
      </c>
      <c r="J21" s="24" t="n">
        <f aca="false">Series!AJ21</f>
        <v>26.8</v>
      </c>
      <c r="K21" s="24" t="n">
        <f aca="false">Series!T21</f>
        <v>56.6</v>
      </c>
      <c r="L21" s="24" t="n">
        <f aca="false">Series!J21</f>
        <v>16.7</v>
      </c>
      <c r="N21" s="16" t="n">
        <f aca="false">INTERCEPT($L$5:$L$30,$D$5:$D$30)+SLOPE($L$5:$L$30,$D$5:$D$30)*D21</f>
        <v>13.8221538461538</v>
      </c>
      <c r="O21" s="16" t="n">
        <f aca="false">INTERCEPT($L$17:$L$30,$D$17:$D$30)+SLOPE($L$17:$L$30,$D$17:$D$30)*D21</f>
        <v>14.7373626373626</v>
      </c>
    </row>
    <row r="22" customFormat="false" ht="15" hidden="false" customHeight="false" outlineLevel="0" collapsed="false">
      <c r="A22" s="4" t="s">
        <v>129</v>
      </c>
      <c r="B22" s="11" t="s">
        <v>126</v>
      </c>
      <c r="C22" s="12" t="n">
        <v>2</v>
      </c>
      <c r="D22" s="12" t="n">
        <v>18</v>
      </c>
      <c r="E22" s="11" t="s">
        <v>161</v>
      </c>
      <c r="F22" s="14" t="n">
        <f aca="false">Series!F22</f>
        <v>11</v>
      </c>
      <c r="G22" s="14" t="n">
        <f aca="false">Series!H22</f>
        <v>11.24</v>
      </c>
      <c r="H22" s="24" t="n">
        <f aca="false">Series!J22</f>
        <v>12.5</v>
      </c>
      <c r="I22" s="24" t="n">
        <f aca="false">Series!M22</f>
        <v>40.1</v>
      </c>
      <c r="J22" s="24" t="n">
        <f aca="false">Series!AJ22</f>
        <v>28</v>
      </c>
      <c r="K22" s="24" t="n">
        <f aca="false">Series!T22</f>
        <v>58.1</v>
      </c>
      <c r="L22" s="24" t="n">
        <f aca="false">Series!J22</f>
        <v>12.5</v>
      </c>
      <c r="N22" s="16" t="n">
        <f aca="false">INTERCEPT($L$5:$L$30,$D$5:$D$30)+SLOPE($L$5:$L$30,$D$5:$D$30)*D22</f>
        <v>13.8427692307692</v>
      </c>
      <c r="O22" s="16" t="n">
        <f aca="false">INTERCEPT($L$17:$L$30,$D$17:$D$30)+SLOPE($L$17:$L$30,$D$17:$D$30)*D22</f>
        <v>14.4795604395604</v>
      </c>
    </row>
    <row r="23" customFormat="false" ht="15" hidden="false" customHeight="false" outlineLevel="0" collapsed="false">
      <c r="A23" s="4" t="s">
        <v>130</v>
      </c>
      <c r="B23" s="11" t="s">
        <v>126</v>
      </c>
      <c r="C23" s="12" t="n">
        <v>3</v>
      </c>
      <c r="D23" s="12" t="n">
        <v>19</v>
      </c>
      <c r="E23" s="11" t="s">
        <v>161</v>
      </c>
      <c r="F23" s="14" t="n">
        <f aca="false">Series!F23</f>
        <v>10.5</v>
      </c>
      <c r="G23" s="14" t="n">
        <f aca="false">Series!H23</f>
        <v>11.09</v>
      </c>
      <c r="H23" s="24" t="n">
        <f aca="false">Series!J23</f>
        <v>15.2</v>
      </c>
      <c r="I23" s="24" t="n">
        <f aca="false">Series!M23</f>
        <v>39.9</v>
      </c>
      <c r="J23" s="24" t="n">
        <f aca="false">Series!AJ23</f>
        <v>41.1</v>
      </c>
      <c r="K23" s="24" t="n">
        <f aca="false">Series!T23</f>
        <v>54.5</v>
      </c>
      <c r="L23" s="24" t="n">
        <f aca="false">Series!J23</f>
        <v>15.2</v>
      </c>
      <c r="N23" s="16" t="n">
        <f aca="false">INTERCEPT($L$5:$L$30,$D$5:$D$30)+SLOPE($L$5:$L$30,$D$5:$D$30)*D23</f>
        <v>13.8633846153846</v>
      </c>
      <c r="O23" s="16" t="n">
        <f aca="false">INTERCEPT($L$17:$L$30,$D$17:$D$30)+SLOPE($L$17:$L$30,$D$17:$D$30)*D23</f>
        <v>14.2217582417582</v>
      </c>
    </row>
    <row r="24" customFormat="false" ht="15" hidden="false" customHeight="false" outlineLevel="0" collapsed="false">
      <c r="A24" s="4" t="s">
        <v>131</v>
      </c>
      <c r="B24" s="11" t="s">
        <v>126</v>
      </c>
      <c r="C24" s="12" t="n">
        <v>4</v>
      </c>
      <c r="D24" s="12" t="n">
        <v>20</v>
      </c>
      <c r="E24" s="11" t="s">
        <v>161</v>
      </c>
      <c r="F24" s="14" t="n">
        <f aca="false">Series!F24</f>
        <v>10</v>
      </c>
      <c r="G24" s="14" t="n">
        <f aca="false">Series!H24</f>
        <v>10.58</v>
      </c>
      <c r="H24" s="24" t="n">
        <f aca="false">Series!J24</f>
        <v>12.1</v>
      </c>
      <c r="I24" s="24" t="n">
        <f aca="false">Series!M24</f>
        <v>36.3</v>
      </c>
      <c r="J24" s="24" t="n">
        <f aca="false">Series!AJ24</f>
        <v>33.7</v>
      </c>
      <c r="K24" s="24" t="n">
        <f aca="false">Series!T24</f>
        <v>55.4</v>
      </c>
      <c r="L24" s="24" t="n">
        <f aca="false">Series!J24</f>
        <v>12.1</v>
      </c>
      <c r="N24" s="16" t="n">
        <f aca="false">INTERCEPT($L$5:$L$30,$D$5:$D$30)+SLOPE($L$5:$L$30,$D$5:$D$30)*D24</f>
        <v>13.884</v>
      </c>
      <c r="O24" s="16" t="n">
        <f aca="false">INTERCEPT($L$17:$L$30,$D$17:$D$30)+SLOPE($L$17:$L$30,$D$17:$D$30)*D24</f>
        <v>13.963956043956</v>
      </c>
    </row>
    <row r="25" customFormat="false" ht="15" hidden="false" customHeight="false" outlineLevel="0" collapsed="false">
      <c r="A25" s="4" t="s">
        <v>132</v>
      </c>
      <c r="B25" s="11" t="s">
        <v>133</v>
      </c>
      <c r="C25" s="12" t="n">
        <v>1</v>
      </c>
      <c r="D25" s="12" t="n">
        <v>21</v>
      </c>
      <c r="E25" s="11" t="s">
        <v>161</v>
      </c>
      <c r="F25" s="14" t="n">
        <f aca="false">Series!F25</f>
        <v>9</v>
      </c>
      <c r="G25" s="14" t="n">
        <f aca="false">Series!H25</f>
        <v>9.97</v>
      </c>
      <c r="H25" s="24" t="n">
        <f aca="false">Series!J25</f>
        <v>13.3</v>
      </c>
      <c r="I25" s="24" t="n">
        <f aca="false">Series!M25</f>
        <v>37.4</v>
      </c>
      <c r="J25" s="24" t="n">
        <f aca="false">Series!AJ25</f>
        <v>39.3</v>
      </c>
      <c r="K25" s="24" t="n">
        <f aca="false">Series!T25</f>
        <v>55.6</v>
      </c>
      <c r="L25" s="24" t="n">
        <f aca="false">Series!J25</f>
        <v>13.3</v>
      </c>
      <c r="N25" s="16" t="n">
        <f aca="false">INTERCEPT($L$5:$L$30,$D$5:$D$30)+SLOPE($L$5:$L$30,$D$5:$D$30)*D25</f>
        <v>13.9046153846154</v>
      </c>
      <c r="O25" s="16" t="n">
        <f aca="false">INTERCEPT($L$17:$L$30,$D$17:$D$30)+SLOPE($L$17:$L$30,$D$17:$D$30)*D25</f>
        <v>13.7061538461538</v>
      </c>
    </row>
    <row r="26" customFormat="false" ht="15" hidden="false" customHeight="false" outlineLevel="0" collapsed="false">
      <c r="A26" s="4" t="s">
        <v>134</v>
      </c>
      <c r="B26" s="11" t="s">
        <v>133</v>
      </c>
      <c r="C26" s="12" t="n">
        <v>2</v>
      </c>
      <c r="D26" s="12" t="n">
        <v>22</v>
      </c>
      <c r="E26" s="11" t="s">
        <v>161</v>
      </c>
      <c r="F26" s="14" t="n">
        <f aca="false">Series!F26</f>
        <v>8</v>
      </c>
      <c r="G26" s="14" t="n">
        <f aca="false">Series!H26</f>
        <v>9.02</v>
      </c>
      <c r="H26" s="24" t="n">
        <f aca="false">Series!J26</f>
        <v>14.9</v>
      </c>
      <c r="I26" s="24" t="n">
        <f aca="false">Series!M26</f>
        <v>35.8</v>
      </c>
      <c r="J26" s="24" t="n">
        <f aca="false">Series!AJ26</f>
        <v>46.7</v>
      </c>
      <c r="K26" s="24" t="n">
        <f aca="false">Series!T26</f>
        <v>56.5</v>
      </c>
      <c r="L26" s="24" t="n">
        <f aca="false">Series!J26</f>
        <v>14.9</v>
      </c>
      <c r="N26" s="16" t="n">
        <f aca="false">INTERCEPT($L$5:$L$30,$D$5:$D$30)+SLOPE($L$5:$L$30,$D$5:$D$30)*D26</f>
        <v>13.9252307692308</v>
      </c>
      <c r="O26" s="16" t="n">
        <f aca="false">INTERCEPT($L$17:$L$30,$D$17:$D$30)+SLOPE($L$17:$L$30,$D$17:$D$30)*D26</f>
        <v>13.4483516483516</v>
      </c>
    </row>
    <row r="27" customFormat="false" ht="15" hidden="false" customHeight="false" outlineLevel="0" collapsed="false">
      <c r="A27" s="4" t="s">
        <v>135</v>
      </c>
      <c r="B27" s="11" t="s">
        <v>133</v>
      </c>
      <c r="C27" s="12" t="n">
        <v>3</v>
      </c>
      <c r="D27" s="12" t="n">
        <v>23</v>
      </c>
      <c r="E27" s="11" t="s">
        <v>161</v>
      </c>
      <c r="F27" s="14" t="n">
        <f aca="false">Series!F27</f>
        <v>7.5</v>
      </c>
      <c r="G27" s="14" t="n">
        <f aca="false">Series!H27</f>
        <v>8.12</v>
      </c>
      <c r="H27" s="24" t="n">
        <f aca="false">Series!J27</f>
        <v>11.5</v>
      </c>
      <c r="I27" s="24" t="n">
        <f aca="false">Series!M27</f>
        <v>37.6</v>
      </c>
      <c r="J27" s="24" t="n">
        <f aca="false">Series!AJ27</f>
        <v>49</v>
      </c>
      <c r="K27" s="24" t="n">
        <f aca="false">Series!T27</f>
        <v>56.3</v>
      </c>
      <c r="L27" s="24" t="n">
        <f aca="false">Series!J27</f>
        <v>11.5</v>
      </c>
      <c r="N27" s="16" t="n">
        <f aca="false">INTERCEPT($L$5:$L$30,$D$5:$D$30)+SLOPE($L$5:$L$30,$D$5:$D$30)*D27</f>
        <v>13.9458461538462</v>
      </c>
      <c r="O27" s="16" t="n">
        <f aca="false">INTERCEPT($L$17:$L$30,$D$17:$D$30)+SLOPE($L$17:$L$30,$D$17:$D$30)*D27</f>
        <v>13.1905494505495</v>
      </c>
    </row>
    <row r="28" customFormat="false" ht="15" hidden="false" customHeight="false" outlineLevel="0" collapsed="false">
      <c r="A28" s="4" t="s">
        <v>136</v>
      </c>
      <c r="B28" s="11" t="s">
        <v>133</v>
      </c>
      <c r="C28" s="12" t="n">
        <v>4</v>
      </c>
      <c r="D28" s="12" t="n">
        <v>24</v>
      </c>
      <c r="E28" s="11" t="s">
        <v>161</v>
      </c>
      <c r="F28" s="14" t="n">
        <f aca="false">Series!F28</f>
        <v>7</v>
      </c>
      <c r="G28" s="14" t="n">
        <f aca="false">Series!H28</f>
        <v>7.63</v>
      </c>
      <c r="H28" s="24" t="n">
        <f aca="false">Series!J28</f>
        <v>15.3</v>
      </c>
      <c r="I28" s="24" t="n">
        <f aca="false">Series!M28</f>
        <v>38.4</v>
      </c>
      <c r="J28" s="24" t="n">
        <f aca="false">Series!AJ28</f>
        <v>47.6</v>
      </c>
      <c r="K28" s="24" t="n">
        <f aca="false">Series!T28</f>
        <v>50.8</v>
      </c>
      <c r="L28" s="24" t="n">
        <f aca="false">Series!J28</f>
        <v>15.3</v>
      </c>
      <c r="N28" s="16" t="n">
        <f aca="false">INTERCEPT($L$5:$L$30,$D$5:$D$30)+SLOPE($L$5:$L$30,$D$5:$D$30)*D28</f>
        <v>13.9664615384615</v>
      </c>
      <c r="O28" s="16" t="n">
        <f aca="false">INTERCEPT($L$17:$L$30,$D$17:$D$30)+SLOPE($L$17:$L$30,$D$17:$D$30)*D28</f>
        <v>12.9327472527473</v>
      </c>
    </row>
    <row r="29" customFormat="false" ht="15" hidden="false" customHeight="false" outlineLevel="0" collapsed="false">
      <c r="A29" s="4" t="s">
        <v>137</v>
      </c>
      <c r="B29" s="11" t="s">
        <v>138</v>
      </c>
      <c r="C29" s="12" t="n">
        <v>1</v>
      </c>
      <c r="D29" s="12" t="n">
        <v>25</v>
      </c>
      <c r="E29" s="11" t="s">
        <v>161</v>
      </c>
      <c r="F29" s="14" t="n">
        <f aca="false">Series!F29</f>
        <v>6.75</v>
      </c>
      <c r="G29" s="14" t="n">
        <f aca="false">Series!H29</f>
        <v>7.28</v>
      </c>
      <c r="H29" s="24" t="n">
        <f aca="false">Series!J29</f>
        <v>13.1</v>
      </c>
      <c r="I29" s="24" t="n">
        <f aca="false">Series!M29</f>
        <v>37</v>
      </c>
      <c r="J29" s="24" t="n">
        <f aca="false">Series!AJ29</f>
        <v>44.9</v>
      </c>
      <c r="K29" s="24" t="n">
        <f aca="false">Series!T29</f>
        <v>56.1</v>
      </c>
      <c r="L29" s="24" t="n">
        <f aca="false">Series!J29</f>
        <v>13.1</v>
      </c>
      <c r="N29" s="16" t="n">
        <f aca="false">INTERCEPT($L$5:$L$30,$D$5:$D$30)+SLOPE($L$5:$L$30,$D$5:$D$30)*D29</f>
        <v>13.9870769230769</v>
      </c>
      <c r="O29" s="16" t="n">
        <f aca="false">INTERCEPT($L$17:$L$30,$D$17:$D$30)+SLOPE($L$17:$L$30,$D$17:$D$30)*D29</f>
        <v>12.6749450549451</v>
      </c>
    </row>
    <row r="30" customFormat="false" ht="15" hidden="false" customHeight="false" outlineLevel="0" collapsed="false">
      <c r="A30" s="4" t="s">
        <v>140</v>
      </c>
      <c r="B30" s="11" t="s">
        <v>138</v>
      </c>
      <c r="C30" s="12" t="n">
        <v>2</v>
      </c>
      <c r="D30" s="12" t="n">
        <v>26</v>
      </c>
      <c r="E30" s="11" t="s">
        <v>161</v>
      </c>
      <c r="F30" s="14" t="n">
        <f aca="false">Series!F30</f>
        <v>6.5</v>
      </c>
      <c r="G30" s="14" t="n">
        <f aca="false">Series!H30</f>
        <v>6.86</v>
      </c>
      <c r="H30" s="24" t="n">
        <f aca="false">Series!J30</f>
        <v>11.2</v>
      </c>
      <c r="I30" s="24" t="n">
        <f aca="false">Series!M30</f>
        <v>37.3</v>
      </c>
      <c r="J30" s="24" t="n">
        <f aca="false">Series!AJ30</f>
        <v>39.4</v>
      </c>
      <c r="K30" s="24" t="n">
        <f aca="false">Series!T30</f>
        <v>50.9</v>
      </c>
      <c r="L30" s="24" t="n">
        <f aca="false">Series!J30</f>
        <v>11.2</v>
      </c>
      <c r="N30" s="16" t="n">
        <f aca="false">INTERCEPT($L$5:$L$30,$D$5:$D$30)+SLOPE($L$5:$L$30,$D$5:$D$30)*D30</f>
        <v>14.0076923076923</v>
      </c>
      <c r="O30" s="16" t="n">
        <f aca="false">INTERCEPT($L$17:$L$30,$D$17:$D$30)+SLOPE($L$17:$L$30,$D$17:$D$30)*D30</f>
        <v>12.4171428571429</v>
      </c>
    </row>
    <row r="31" customFormat="false" ht="15" hidden="false" customHeight="false" outlineLevel="0" collapsed="false">
      <c r="A31" s="4" t="s">
        <v>142</v>
      </c>
      <c r="B31" s="11" t="s">
        <v>138</v>
      </c>
      <c r="C31" s="12" t="n">
        <v>3</v>
      </c>
      <c r="D31" s="12" t="n">
        <v>27</v>
      </c>
      <c r="E31" s="11" t="s">
        <v>161</v>
      </c>
      <c r="F31" s="14" t="n">
        <f aca="false">Series!F31</f>
        <v>6.5</v>
      </c>
      <c r="G31" s="14" t="n">
        <f aca="false">Series!H31</f>
        <v>6.76</v>
      </c>
      <c r="H31" s="21"/>
      <c r="I31" s="21"/>
      <c r="J31" s="21"/>
      <c r="K31" s="21"/>
    </row>
    <row r="33" customFormat="false" ht="15" hidden="false" customHeight="false" outlineLevel="0" collapsed="false">
      <c r="A33" s="20" t="s">
        <v>162</v>
      </c>
    </row>
    <row r="34" customFormat="false" ht="15" hidden="false" customHeight="false" outlineLevel="0" collapsed="false">
      <c r="A34" s="20" t="s">
        <v>163</v>
      </c>
    </row>
    <row r="36" customFormat="false" ht="15" hidden="false" customHeight="false" outlineLevel="0" collapsed="false">
      <c r="M36" s="4" t="s">
        <v>164</v>
      </c>
      <c r="N36" s="4" t="s">
        <v>165</v>
      </c>
      <c r="O36" s="4" t="s">
        <v>166</v>
      </c>
    </row>
    <row r="37" customFormat="false" ht="15" hidden="false" customHeight="false" outlineLevel="0" collapsed="false">
      <c r="M37" s="4" t="s">
        <v>167</v>
      </c>
      <c r="N37" s="25" t="n">
        <f aca="false">SLOPE($L$5:$L$30,$D$5:$D$30)</f>
        <v>0.0206153846153846</v>
      </c>
      <c r="O37" s="25" t="n">
        <f aca="false">SLOPE($L$17:$L$30,$D$17:$D$30)</f>
        <v>-0.257802197802198</v>
      </c>
    </row>
    <row r="38" customFormat="false" ht="15" hidden="false" customHeight="false" outlineLevel="0" collapsed="false">
      <c r="M38" s="4" t="s">
        <v>168</v>
      </c>
      <c r="N38" s="25" t="n">
        <f aca="false">N37*4</f>
        <v>0.0824615384615384</v>
      </c>
      <c r="O38" s="25" t="n">
        <f aca="false">O37*4</f>
        <v>-1.03120879120879</v>
      </c>
    </row>
    <row r="57" customFormat="false" ht="15" hidden="false" customHeight="false" outlineLevel="0" collapsed="false">
      <c r="A57" s="23" t="s">
        <v>169</v>
      </c>
    </row>
    <row r="76" customFormat="false" ht="15" hidden="false" customHeight="false" outlineLevel="0" collapsed="false">
      <c r="A76" s="23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1"/>
    <col collapsed="false" customWidth="true" hidden="false" outlineLevel="0" max="9" min="9" style="0" width="10"/>
    <col collapsed="false" customWidth="true" hidden="false" outlineLevel="0" max="11" min="10" style="0" width="11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6" min="15" style="0" width="11"/>
    <col collapsed="false" customWidth="true" hidden="false" outlineLevel="0" max="17" min="17" style="0" width="10"/>
    <col collapsed="false" customWidth="true" hidden="false" outlineLevel="0" max="20" min="18" style="0" width="11"/>
    <col collapsed="false" customWidth="true" hidden="false" outlineLevel="0" max="21" min="21" style="0" width="14"/>
  </cols>
  <sheetData>
    <row r="1" customFormat="false" ht="17.35" hidden="false" customHeight="false" outlineLevel="0" collapsed="false">
      <c r="A1" s="1" t="s">
        <v>171</v>
      </c>
    </row>
    <row r="2" customFormat="false" ht="15" hidden="false" customHeight="false" outlineLevel="0" collapsed="false">
      <c r="A2" s="2" t="s">
        <v>172</v>
      </c>
    </row>
    <row r="4" customFormat="false" ht="78" hidden="false" customHeight="true" outlineLevel="0" collapsed="false">
      <c r="A4" s="10" t="s">
        <v>52</v>
      </c>
      <c r="B4" s="10" t="s">
        <v>173</v>
      </c>
      <c r="C4" s="10" t="s">
        <v>174</v>
      </c>
      <c r="D4" s="10" t="s">
        <v>175</v>
      </c>
      <c r="E4" s="10" t="s">
        <v>176</v>
      </c>
      <c r="F4" s="10" t="s">
        <v>177</v>
      </c>
      <c r="G4" s="10" t="s">
        <v>64</v>
      </c>
      <c r="H4" s="10" t="s">
        <v>65</v>
      </c>
      <c r="I4" s="10" t="s">
        <v>178</v>
      </c>
      <c r="J4" s="10" t="s">
        <v>67</v>
      </c>
      <c r="K4" s="10" t="s">
        <v>68</v>
      </c>
      <c r="L4" s="10" t="s">
        <v>179</v>
      </c>
      <c r="M4" s="10" t="s">
        <v>70</v>
      </c>
      <c r="N4" s="10" t="s">
        <v>72</v>
      </c>
      <c r="O4" s="10" t="s">
        <v>74</v>
      </c>
      <c r="P4" s="10" t="s">
        <v>86</v>
      </c>
      <c r="Q4" s="10" t="s">
        <v>180</v>
      </c>
      <c r="R4" s="10" t="s">
        <v>152</v>
      </c>
      <c r="S4" s="10" t="s">
        <v>181</v>
      </c>
      <c r="T4" s="10" t="s">
        <v>182</v>
      </c>
      <c r="U4" s="10" t="s">
        <v>183</v>
      </c>
    </row>
    <row r="5" customFormat="false" ht="15" hidden="false" customHeight="false" outlineLevel="0" collapsed="false">
      <c r="A5" s="4" t="s">
        <v>101</v>
      </c>
      <c r="B5" s="11" t="s">
        <v>184</v>
      </c>
      <c r="C5" s="12" t="n">
        <f aca="false">COUNTIFS(Series!$B$5:$B$31,$A5,Series!$J$5:$J$31,"&lt;&gt;")</f>
        <v>4</v>
      </c>
      <c r="D5" s="16" t="n">
        <f aca="false">IFERROR(ROUND(AVERAGEIFS(Series!$J$5:$J$31,Series!$B$5:$B$31,$A5),3),"n.d.")</f>
        <v>12.95</v>
      </c>
      <c r="E5" s="16" t="n">
        <f aca="false">IFERROR(INDEX(Series!$J$5:$J$31,MATCH("IV-"&amp;RIGHT($A5,2),Series!$A$5:$A$31,0)),"n.d.")</f>
        <v>13.6</v>
      </c>
      <c r="F5" s="16" t="n">
        <f aca="false">IFERROR(ROUND(AVERAGEIFS(Series!$M$5:$M$31,Series!$B$5:$B$31,$A5),3),"n.d.")</f>
        <v>38.3</v>
      </c>
      <c r="G5" s="16" t="n">
        <f aca="false">IFERROR(ROUND(AVERAGEIFS(Series!$N$5:$N$31,Series!$B$5:$B$31,$A5),3),"n.d.")</f>
        <v>36.4</v>
      </c>
      <c r="H5" s="16" t="n">
        <f aca="false">IFERROR(ROUND(AVERAGEIFS(Series!$O$5:$O$31,Series!$B$5:$B$31,$A5),3),"n.d.")</f>
        <v>52.925</v>
      </c>
      <c r="I5" s="16" t="n">
        <f aca="false">IFERROR(ROUND(AVERAGEIFS(Series!$P$5:$P$31,Series!$B$5:$B$31,$A5),3),"n.d.")</f>
        <v>16.525</v>
      </c>
      <c r="J5" s="16" t="n">
        <f aca="false">IFERROR(ROUND(AVERAGEIFS(Series!$Q$5:$Q$31,Series!$B$5:$B$31,$A5),3),"n.d.")</f>
        <v>11.133</v>
      </c>
      <c r="K5" s="16" t="n">
        <f aca="false">IFERROR(ROUND(AVERAGEIFS(Series!$R$5:$R$31,Series!$B$5:$B$31,$A5),3),"n.d.")</f>
        <v>27.333</v>
      </c>
      <c r="L5" s="16" t="n">
        <f aca="false">IFERROR(ROUND(AVERAGEIFS(Series!$S$5:$S$31,Series!$B$5:$B$31,$A5),3),"n.d.")</f>
        <v>16.2</v>
      </c>
      <c r="M5" s="16" t="n">
        <f aca="false">IFERROR(ROUND(AVERAGEIFS(Series!$T$5:$T$31,Series!$B$5:$B$31,$A5),3),"n.d.")</f>
        <v>50.3</v>
      </c>
      <c r="N5" s="16" t="n">
        <f aca="false">IFERROR(ROUND(AVERAGEIFS(Series!$V$5:$V$31,Series!$B$5:$B$31,$A5),3),"n.d.")</f>
        <v>20.725</v>
      </c>
      <c r="O5" s="16" t="n">
        <f aca="false">IFERROR(ROUND(AVERAGEIFS(Series!$X$5:$X$31,Series!$B$5:$B$31,$A5),3),"n.d.")</f>
        <v>22.425</v>
      </c>
      <c r="P5" s="16" t="n">
        <f aca="false">IFERROR(ROUND(AVERAGEIFS(Series!$AJ$5:$AJ$31,Series!$B$5:$B$31,$A5),3),"n.d.")</f>
        <v>42.625</v>
      </c>
      <c r="Q5" s="18" t="n">
        <f aca="false">IFERROR(ROUND(AVERAGEIFS(Series!$AG$5:$AG$31,Series!$B$5:$B$31,$A5),5),"n.d.")</f>
        <v>0.17709</v>
      </c>
      <c r="R5" s="25" t="n">
        <f aca="false">IFERROR(ROUND(AVERAGEIFS(Series!$F$5:$F$31,Series!$B$5:$B$31,$A5),4),"n.d.")</f>
        <v>5</v>
      </c>
      <c r="S5" s="25" t="n">
        <f aca="false">IFERROR(ROUND(AVERAGEIFS(Series!$H$5:$H$31,Series!$B$5:$B$31,$A5),4),"n.d.")</f>
        <v>5.72</v>
      </c>
      <c r="T5" s="25" t="n">
        <f aca="false">IFERROR(ROUND(AVERAGEIFS(Series!$I$5:$I$31,Series!$B$5:$B$31,$A5),4),"n.d.")</f>
        <v>5.495</v>
      </c>
      <c r="U5" s="11" t="s">
        <v>101</v>
      </c>
    </row>
    <row r="6" customFormat="false" ht="15" hidden="false" customHeight="false" outlineLevel="0" collapsed="false">
      <c r="A6" s="4" t="s">
        <v>109</v>
      </c>
      <c r="B6" s="11" t="s">
        <v>184</v>
      </c>
      <c r="C6" s="12" t="n">
        <f aca="false">COUNTIFS(Series!$B$5:$B$31,$A6,Series!$J$5:$J$31,"&lt;&gt;")</f>
        <v>4</v>
      </c>
      <c r="D6" s="16" t="n">
        <f aca="false">IFERROR(ROUND(AVERAGEIFS(Series!$J$5:$J$31,Series!$B$5:$B$31,$A6),3),"n.d.")</f>
        <v>11.75</v>
      </c>
      <c r="E6" s="16" t="n">
        <f aca="false">IFERROR(INDEX(Series!$J$5:$J$31,MATCH("IV-"&amp;RIGHT($A6,2),Series!$A$5:$A$31,0)),"n.d.")</f>
        <v>9</v>
      </c>
      <c r="F6" s="16" t="n">
        <f aca="false">IFERROR(ROUND(AVERAGEIFS(Series!$M$5:$M$31,Series!$B$5:$B$31,$A6),3),"n.d.")</f>
        <v>37.675</v>
      </c>
      <c r="G6" s="16" t="n">
        <f aca="false">IFERROR(ROUND(AVERAGEIFS(Series!$N$5:$N$31,Series!$B$5:$B$31,$A6),3),"n.d.")</f>
        <v>35.85</v>
      </c>
      <c r="H6" s="16" t="n">
        <f aca="false">IFERROR(ROUND(AVERAGEIFS(Series!$O$5:$O$31,Series!$B$5:$B$31,$A6),3),"n.d.")</f>
        <v>51.75</v>
      </c>
      <c r="I6" s="16" t="n">
        <f aca="false">IFERROR(ROUND(AVERAGEIFS(Series!$P$5:$P$31,Series!$B$5:$B$31,$A6),3),"n.d.")</f>
        <v>15.9</v>
      </c>
      <c r="J6" s="16" t="n">
        <f aca="false">IFERROR(ROUND(AVERAGEIFS(Series!$Q$5:$Q$31,Series!$B$5:$B$31,$A6),3),"n.d.")</f>
        <v>10.333</v>
      </c>
      <c r="K6" s="16" t="n">
        <f aca="false">IFERROR(ROUND(AVERAGEIFS(Series!$R$5:$R$31,Series!$B$5:$B$31,$A6),3),"n.d.")</f>
        <v>23.667</v>
      </c>
      <c r="L6" s="16" t="n">
        <f aca="false">IFERROR(ROUND(AVERAGEIFS(Series!$S$5:$S$31,Series!$B$5:$B$31,$A6),3),"n.d.")</f>
        <v>13.333</v>
      </c>
      <c r="M6" s="16" t="n">
        <f aca="false">IFERROR(ROUND(AVERAGEIFS(Series!$T$5:$T$31,Series!$B$5:$B$31,$A6),3),"n.d.")</f>
        <v>52.975</v>
      </c>
      <c r="N6" s="16" t="n">
        <f aca="false">IFERROR(ROUND(AVERAGEIFS(Series!$V$5:$V$31,Series!$B$5:$B$31,$A6),3),"n.d.")</f>
        <v>18.75</v>
      </c>
      <c r="O6" s="16" t="n">
        <f aca="false">IFERROR(ROUND(AVERAGEIFS(Series!$X$5:$X$31,Series!$B$5:$B$31,$A6),3),"n.d.")</f>
        <v>27.975</v>
      </c>
      <c r="P6" s="16" t="n">
        <f aca="false">IFERROR(ROUND(AVERAGEIFS(Series!$AJ$5:$AJ$31,Series!$B$5:$B$31,$A6),3),"n.d.")</f>
        <v>41.9</v>
      </c>
      <c r="Q6" s="18" t="n">
        <f aca="false">IFERROR(ROUND(AVERAGEIFS(Series!$AG$5:$AG$31,Series!$B$5:$B$31,$A6),5),"n.d.")</f>
        <v>0.2389</v>
      </c>
      <c r="R6" s="25" t="n">
        <f aca="false">IFERROR(ROUND(AVERAGEIFS(Series!$F$5:$F$31,Series!$B$5:$B$31,$A6),4),"n.d.")</f>
        <v>4.625</v>
      </c>
      <c r="S6" s="25" t="n">
        <f aca="false">IFERROR(ROUND(AVERAGEIFS(Series!$H$5:$H$31,Series!$B$5:$B$31,$A6),4),"n.d.")</f>
        <v>4.6225</v>
      </c>
      <c r="T6" s="25" t="n">
        <f aca="false">IFERROR(ROUND(AVERAGEIFS(Series!$I$5:$I$31,Series!$B$5:$B$31,$A6),4),"n.d.")</f>
        <v>4.39</v>
      </c>
      <c r="U6" s="11" t="s">
        <v>109</v>
      </c>
    </row>
    <row r="7" customFormat="false" ht="15" hidden="false" customHeight="false" outlineLevel="0" collapsed="false">
      <c r="A7" s="4" t="s">
        <v>115</v>
      </c>
      <c r="B7" s="11" t="s">
        <v>184</v>
      </c>
      <c r="C7" s="12" t="n">
        <f aca="false">COUNTIFS(Series!$B$5:$B$31,$A7,Series!$J$5:$J$31,"&lt;&gt;")</f>
        <v>4</v>
      </c>
      <c r="D7" s="16" t="n">
        <f aca="false">IFERROR(ROUND(AVERAGEIFS(Series!$J$5:$J$31,Series!$B$5:$B$31,$A7),3),"n.d.")</f>
        <v>15.35</v>
      </c>
      <c r="E7" s="16" t="n">
        <f aca="false">IFERROR(INDEX(Series!$J$5:$J$31,MATCH("IV-"&amp;RIGHT($A7,2),Series!$A$5:$A$31,0)),"n.d.")</f>
        <v>13.8</v>
      </c>
      <c r="F7" s="16" t="n">
        <f aca="false">IFERROR(ROUND(AVERAGEIFS(Series!$M$5:$M$31,Series!$B$5:$B$31,$A7),3),"n.d.")</f>
        <v>39.275</v>
      </c>
      <c r="G7" s="16" t="n">
        <f aca="false">IFERROR(ROUND(AVERAGEIFS(Series!$N$5:$N$31,Series!$B$5:$B$31,$A7),3),"n.d.")</f>
        <v>38.425</v>
      </c>
      <c r="H7" s="16" t="n">
        <f aca="false">IFERROR(ROUND(AVERAGEIFS(Series!$O$5:$O$31,Series!$B$5:$B$31,$A7),3),"n.d.")</f>
        <v>45.9</v>
      </c>
      <c r="I7" s="16" t="n">
        <f aca="false">IFERROR(ROUND(AVERAGEIFS(Series!$P$5:$P$31,Series!$B$5:$B$31,$A7),3),"n.d.")</f>
        <v>7.475</v>
      </c>
      <c r="J7" s="16" t="n">
        <f aca="false">IFERROR(ROUND(AVERAGEIFS(Series!$Q$5:$Q$31,Series!$B$5:$B$31,$A7),3),"n.d.")</f>
        <v>13.933</v>
      </c>
      <c r="K7" s="16" t="n">
        <f aca="false">IFERROR(ROUND(AVERAGEIFS(Series!$R$5:$R$31,Series!$B$5:$B$31,$A7),3),"n.d.")</f>
        <v>23.033</v>
      </c>
      <c r="L7" s="16" t="n">
        <f aca="false">IFERROR(ROUND(AVERAGEIFS(Series!$S$5:$S$31,Series!$B$5:$B$31,$A7),3),"n.d.")</f>
        <v>9.1</v>
      </c>
      <c r="M7" s="16" t="n">
        <f aca="false">IFERROR(ROUND(AVERAGEIFS(Series!$T$5:$T$31,Series!$B$5:$B$31,$A7),3),"n.d.")</f>
        <v>54.325</v>
      </c>
      <c r="N7" s="16" t="n">
        <f aca="false">IFERROR(ROUND(AVERAGEIFS(Series!$V$5:$V$31,Series!$B$5:$B$31,$A7),3),"n.d.")</f>
        <v>19.2</v>
      </c>
      <c r="O7" s="16" t="n">
        <f aca="false">IFERROR(ROUND(AVERAGEIFS(Series!$X$5:$X$31,Series!$B$5:$B$31,$A7),3),"n.d.")</f>
        <v>28.625</v>
      </c>
      <c r="P7" s="16" t="n">
        <f aca="false">IFERROR(ROUND(AVERAGEIFS(Series!$AJ$5:$AJ$31,Series!$B$5:$B$31,$A7),3),"n.d.")</f>
        <v>18.675</v>
      </c>
      <c r="Q7" s="18" t="n">
        <f aca="false">IFERROR(ROUND(AVERAGEIFS(Series!$AG$5:$AG$31,Series!$B$5:$B$31,$A7),5),"n.d.")</f>
        <v>0.1246</v>
      </c>
      <c r="R7" s="25" t="n">
        <f aca="false">IFERROR(ROUND(AVERAGEIFS(Series!$F$5:$F$31,Series!$B$5:$B$31,$A7),4),"n.d.")</f>
        <v>8.5</v>
      </c>
      <c r="S7" s="25" t="n">
        <f aca="false">IFERROR(ROUND(AVERAGEIFS(Series!$H$5:$H$31,Series!$B$5:$B$31,$A7),4),"n.d.")</f>
        <v>7.895</v>
      </c>
      <c r="T7" s="25" t="n">
        <f aca="false">IFERROR(ROUND(AVERAGEIFS(Series!$I$5:$I$31,Series!$B$5:$B$31,$A7),4),"n.d.")</f>
        <v>7.64</v>
      </c>
      <c r="U7" s="11" t="s">
        <v>115</v>
      </c>
    </row>
    <row r="8" customFormat="false" ht="15" hidden="false" customHeight="false" outlineLevel="0" collapsed="false">
      <c r="A8" s="4" t="s">
        <v>120</v>
      </c>
      <c r="B8" s="11" t="s">
        <v>184</v>
      </c>
      <c r="C8" s="12" t="n">
        <f aca="false">COUNTIFS(Series!$B$5:$B$31,$A8,Series!$J$5:$J$31,"&lt;&gt;")</f>
        <v>4</v>
      </c>
      <c r="D8" s="16" t="n">
        <f aca="false">IFERROR(ROUND(AVERAGEIFS(Series!$J$5:$J$31,Series!$B$5:$B$31,$A8),3),"n.d.")</f>
        <v>15.375</v>
      </c>
      <c r="E8" s="16" t="n">
        <f aca="false">IFERROR(INDEX(Series!$J$5:$J$31,MATCH("IV-"&amp;RIGHT($A8,2),Series!$A$5:$A$31,0)),"n.d.")</f>
        <v>15.6</v>
      </c>
      <c r="F8" s="16" t="n">
        <f aca="false">IFERROR(ROUND(AVERAGEIFS(Series!$M$5:$M$31,Series!$B$5:$B$31,$A8),3),"n.d.")</f>
        <v>37.775</v>
      </c>
      <c r="G8" s="16" t="n">
        <f aca="false">IFERROR(ROUND(AVERAGEIFS(Series!$N$5:$N$31,Series!$B$5:$B$31,$A8),3),"n.d.")</f>
        <v>36.975</v>
      </c>
      <c r="H8" s="16" t="n">
        <f aca="false">IFERROR(ROUND(AVERAGEIFS(Series!$O$5:$O$31,Series!$B$5:$B$31,$A8),3),"n.d.")</f>
        <v>43.725</v>
      </c>
      <c r="I8" s="16" t="n">
        <f aca="false">IFERROR(ROUND(AVERAGEIFS(Series!$P$5:$P$31,Series!$B$5:$B$31,$A8),3),"n.d.")</f>
        <v>6.75</v>
      </c>
      <c r="J8" s="16" t="n">
        <f aca="false">IFERROR(ROUND(AVERAGEIFS(Series!$Q$5:$Q$31,Series!$B$5:$B$31,$A8),3),"n.d.")</f>
        <v>14.867</v>
      </c>
      <c r="K8" s="16" t="n">
        <f aca="false">IFERROR(ROUND(AVERAGEIFS(Series!$R$5:$R$31,Series!$B$5:$B$31,$A8),3),"n.d.")</f>
        <v>20.033</v>
      </c>
      <c r="L8" s="16" t="n">
        <f aca="false">IFERROR(ROUND(AVERAGEIFS(Series!$S$5:$S$31,Series!$B$5:$B$31,$A8),3),"n.d.")</f>
        <v>5.167</v>
      </c>
      <c r="M8" s="16" t="n">
        <f aca="false">IFERROR(ROUND(AVERAGEIFS(Series!$T$5:$T$31,Series!$B$5:$B$31,$A8),3),"n.d.")</f>
        <v>57.6</v>
      </c>
      <c r="N8" s="16" t="n">
        <f aca="false">IFERROR(ROUND(AVERAGEIFS(Series!$V$5:$V$31,Series!$B$5:$B$31,$A8),3),"n.d.")</f>
        <v>16.75</v>
      </c>
      <c r="O8" s="16" t="n">
        <f aca="false">IFERROR(ROUND(AVERAGEIFS(Series!$X$5:$X$31,Series!$B$5:$B$31,$A8),3),"n.d.")</f>
        <v>29.25</v>
      </c>
      <c r="P8" s="16" t="n">
        <f aca="false">IFERROR(ROUND(AVERAGEIFS(Series!$AJ$5:$AJ$31,Series!$B$5:$B$31,$A8),3),"n.d.")</f>
        <v>31.025</v>
      </c>
      <c r="Q8" s="18" t="n">
        <f aca="false">IFERROR(ROUND(AVERAGEIFS(Series!$AG$5:$AG$31,Series!$B$5:$B$31,$A8),5),"n.d.")</f>
        <v>0.07243</v>
      </c>
      <c r="R8" s="25" t="n">
        <f aca="false">IFERROR(ROUND(AVERAGEIFS(Series!$F$5:$F$31,Series!$B$5:$B$31,$A8),4),"n.d.")</f>
        <v>11.25</v>
      </c>
      <c r="S8" s="25" t="n">
        <f aca="false">IFERROR(ROUND(AVERAGEIFS(Series!$H$5:$H$31,Series!$B$5:$B$31,$A8),4),"n.d.")</f>
        <v>11.3975</v>
      </c>
      <c r="T8" s="25" t="n">
        <f aca="false">IFERROR(ROUND(AVERAGEIFS(Series!$I$5:$I$31,Series!$B$5:$B$31,$A8),4),"n.d.")</f>
        <v>11.1425</v>
      </c>
      <c r="U8" s="11" t="s">
        <v>120</v>
      </c>
    </row>
    <row r="9" customFormat="false" ht="15" hidden="false" customHeight="false" outlineLevel="0" collapsed="false">
      <c r="A9" s="4" t="s">
        <v>126</v>
      </c>
      <c r="B9" s="11" t="s">
        <v>184</v>
      </c>
      <c r="C9" s="12" t="n">
        <f aca="false">COUNTIFS(Series!$B$5:$B$31,$A9,Series!$J$5:$J$31,"&lt;&gt;")</f>
        <v>4</v>
      </c>
      <c r="D9" s="16" t="n">
        <f aca="false">IFERROR(ROUND(AVERAGEIFS(Series!$J$5:$J$31,Series!$B$5:$B$31,$A9),3),"n.d.")</f>
        <v>14.125</v>
      </c>
      <c r="E9" s="16" t="n">
        <f aca="false">IFERROR(INDEX(Series!$J$5:$J$31,MATCH("IV-"&amp;RIGHT($A9,2),Series!$A$5:$A$31,0)),"n.d.")</f>
        <v>12.1</v>
      </c>
      <c r="F9" s="16" t="n">
        <f aca="false">IFERROR(ROUND(AVERAGEIFS(Series!$M$5:$M$31,Series!$B$5:$B$31,$A9),3),"n.d.")</f>
        <v>38.95</v>
      </c>
      <c r="G9" s="16" t="n">
        <f aca="false">IFERROR(ROUND(AVERAGEIFS(Series!$N$5:$N$31,Series!$B$5:$B$31,$A9),3),"n.d.")</f>
        <v>37.9</v>
      </c>
      <c r="H9" s="16" t="n">
        <f aca="false">IFERROR(ROUND(AVERAGEIFS(Series!$O$5:$O$31,Series!$B$5:$B$31,$A9),3),"n.d.")</f>
        <v>47.05</v>
      </c>
      <c r="I9" s="16" t="n">
        <f aca="false">IFERROR(ROUND(AVERAGEIFS(Series!$P$5:$P$31,Series!$B$5:$B$31,$A9),3),"n.d.")</f>
        <v>9.15</v>
      </c>
      <c r="J9" s="16" t="n">
        <f aca="false">IFERROR(ROUND(AVERAGEIFS(Series!$Q$5:$Q$31,Series!$B$5:$B$31,$A9),3),"n.d.")</f>
        <v>12.8</v>
      </c>
      <c r="K9" s="16" t="n">
        <f aca="false">IFERROR(ROUND(AVERAGEIFS(Series!$R$5:$R$31,Series!$B$5:$B$31,$A9),3),"n.d.")</f>
        <v>21.267</v>
      </c>
      <c r="L9" s="16" t="n">
        <f aca="false">IFERROR(ROUND(AVERAGEIFS(Series!$S$5:$S$31,Series!$B$5:$B$31,$A9),3),"n.d.")</f>
        <v>8.467</v>
      </c>
      <c r="M9" s="16" t="n">
        <f aca="false">IFERROR(ROUND(AVERAGEIFS(Series!$T$5:$T$31,Series!$B$5:$B$31,$A9),3),"n.d.")</f>
        <v>56.15</v>
      </c>
      <c r="N9" s="16" t="n">
        <f aca="false">IFERROR(ROUND(AVERAGEIFS(Series!$V$5:$V$31,Series!$B$5:$B$31,$A9),3),"n.d.")</f>
        <v>18.65</v>
      </c>
      <c r="O9" s="16" t="n">
        <f aca="false">IFERROR(ROUND(AVERAGEIFS(Series!$X$5:$X$31,Series!$B$5:$B$31,$A9),3),"n.d.")</f>
        <v>28.55</v>
      </c>
      <c r="P9" s="16" t="n">
        <f aca="false">IFERROR(ROUND(AVERAGEIFS(Series!$AJ$5:$AJ$31,Series!$B$5:$B$31,$A9),3),"n.d.")</f>
        <v>32.4</v>
      </c>
      <c r="Q9" s="18" t="n">
        <f aca="false">IFERROR(ROUND(AVERAGEIFS(Series!$AG$5:$AG$31,Series!$B$5:$B$31,$A9),5),"n.d.")</f>
        <v>0.0697</v>
      </c>
      <c r="R9" s="25" t="n">
        <f aca="false">IFERROR(ROUND(AVERAGEIFS(Series!$F$5:$F$31,Series!$B$5:$B$31,$A9),4),"n.d.")</f>
        <v>10.625</v>
      </c>
      <c r="S9" s="25" t="n">
        <f aca="false">IFERROR(ROUND(AVERAGEIFS(Series!$H$5:$H$31,Series!$B$5:$B$31,$A9),4),"n.d.")</f>
        <v>11.0975</v>
      </c>
      <c r="T9" s="25" t="n">
        <f aca="false">IFERROR(ROUND(AVERAGEIFS(Series!$I$5:$I$31,Series!$B$5:$B$31,$A9),4),"n.d.")</f>
        <v>10.875</v>
      </c>
      <c r="U9" s="11" t="s">
        <v>126</v>
      </c>
    </row>
    <row r="10" customFormat="false" ht="15" hidden="false" customHeight="false" outlineLevel="0" collapsed="false">
      <c r="A10" s="4" t="s">
        <v>133</v>
      </c>
      <c r="B10" s="11" t="s">
        <v>184</v>
      </c>
      <c r="C10" s="12" t="n">
        <f aca="false">COUNTIFS(Series!$B$5:$B$31,$A10,Series!$J$5:$J$31,"&lt;&gt;")</f>
        <v>4</v>
      </c>
      <c r="D10" s="16" t="n">
        <f aca="false">IFERROR(ROUND(AVERAGEIFS(Series!$J$5:$J$31,Series!$B$5:$B$31,$A10),3),"n.d.")</f>
        <v>13.75</v>
      </c>
      <c r="E10" s="16" t="n">
        <f aca="false">IFERROR(INDEX(Series!$J$5:$J$31,MATCH("IV-"&amp;RIGHT($A10,2),Series!$A$5:$A$31,0)),"n.d.")</f>
        <v>15.3</v>
      </c>
      <c r="F10" s="16" t="n">
        <f aca="false">IFERROR(ROUND(AVERAGEIFS(Series!$M$5:$M$31,Series!$B$5:$B$31,$A10),3),"n.d.")</f>
        <v>37.3</v>
      </c>
      <c r="G10" s="16" t="n">
        <f aca="false">IFERROR(ROUND(AVERAGEIFS(Series!$N$5:$N$31,Series!$B$5:$B$31,$A10),3),"n.d.")</f>
        <v>36.125</v>
      </c>
      <c r="H10" s="16" t="n">
        <f aca="false">IFERROR(ROUND(AVERAGEIFS(Series!$O$5:$O$31,Series!$B$5:$B$31,$A10),3),"n.d.")</f>
        <v>46.35</v>
      </c>
      <c r="I10" s="16" t="n">
        <f aca="false">IFERROR(ROUND(AVERAGEIFS(Series!$P$5:$P$31,Series!$B$5:$B$31,$A10),3),"n.d.")</f>
        <v>10.225</v>
      </c>
      <c r="J10" s="16" t="n">
        <f aca="false">IFERROR(ROUND(AVERAGEIFS(Series!$Q$5:$Q$31,Series!$B$5:$B$31,$A10),3),"n.d.")</f>
        <v>13.533</v>
      </c>
      <c r="K10" s="16" t="n">
        <f aca="false">IFERROR(ROUND(AVERAGEIFS(Series!$R$5:$R$31,Series!$B$5:$B$31,$A10),3),"n.d.")</f>
        <v>22.4</v>
      </c>
      <c r="L10" s="16" t="n">
        <f aca="false">IFERROR(ROUND(AVERAGEIFS(Series!$S$5:$S$31,Series!$B$5:$B$31,$A10),3),"n.d.")</f>
        <v>8.867</v>
      </c>
      <c r="M10" s="16" t="n">
        <f aca="false">IFERROR(ROUND(AVERAGEIFS(Series!$T$5:$T$31,Series!$B$5:$B$31,$A10),3),"n.d.")</f>
        <v>54.8</v>
      </c>
      <c r="N10" s="16" t="n">
        <f aca="false">IFERROR(ROUND(AVERAGEIFS(Series!$V$5:$V$31,Series!$B$5:$B$31,$A10),3),"n.d.")</f>
        <v>18.475</v>
      </c>
      <c r="O10" s="16" t="n">
        <f aca="false">IFERROR(ROUND(AVERAGEIFS(Series!$X$5:$X$31,Series!$B$5:$B$31,$A10),3),"n.d.")</f>
        <v>27.25</v>
      </c>
      <c r="P10" s="16" t="n">
        <f aca="false">IFERROR(ROUND(AVERAGEIFS(Series!$AJ$5:$AJ$31,Series!$B$5:$B$31,$A10),3),"n.d.")</f>
        <v>45.65</v>
      </c>
      <c r="Q10" s="18" t="n">
        <f aca="false">IFERROR(ROUND(AVERAGEIFS(Series!$AG$5:$AG$31,Series!$B$5:$B$31,$A10),5),"n.d.")</f>
        <v>0.06352</v>
      </c>
      <c r="R10" s="25" t="n">
        <f aca="false">IFERROR(ROUND(AVERAGEIFS(Series!$F$5:$F$31,Series!$B$5:$B$31,$A10),4),"n.d.")</f>
        <v>7.875</v>
      </c>
      <c r="S10" s="25" t="n">
        <f aca="false">IFERROR(ROUND(AVERAGEIFS(Series!$H$5:$H$31,Series!$B$5:$B$31,$A10),4),"n.d.")</f>
        <v>8.685</v>
      </c>
      <c r="T10" s="25" t="n">
        <f aca="false">IFERROR(ROUND(AVERAGEIFS(Series!$I$5:$I$31,Series!$B$5:$B$31,$A10),4),"n.d.")</f>
        <v>8.4075</v>
      </c>
      <c r="U10" s="11" t="s">
        <v>133</v>
      </c>
    </row>
    <row r="11" customFormat="false" ht="15" hidden="false" customHeight="false" outlineLevel="0" collapsed="false">
      <c r="A11" s="4" t="s">
        <v>138</v>
      </c>
      <c r="B11" s="11" t="s">
        <v>185</v>
      </c>
      <c r="C11" s="12" t="n">
        <f aca="false">COUNTIFS(Series!$B$5:$B$31,$A11,Series!$J$5:$J$31,"&lt;&gt;")</f>
        <v>2</v>
      </c>
      <c r="D11" s="16" t="n">
        <f aca="false">IFERROR(ROUND(AVERAGEIFS(Series!$J$5:$J$31,Series!$B$5:$B$31,$A11),3),"n.d.")</f>
        <v>12.15</v>
      </c>
      <c r="E11" s="16" t="str">
        <f aca="false">IFERROR(INDEX(Series!$J$5:$J$31,MATCH("IV-"&amp;RIGHT($A11,2),Series!$A$5:$A$31,0)),"n.d.")</f>
        <v>n.d.</v>
      </c>
      <c r="F11" s="16" t="n">
        <f aca="false">IFERROR(ROUND(AVERAGEIFS(Series!$M$5:$M$31,Series!$B$5:$B$31,$A11),3),"n.d.")</f>
        <v>37.15</v>
      </c>
      <c r="G11" s="16" t="n">
        <f aca="false">IFERROR(ROUND(AVERAGEIFS(Series!$N$5:$N$31,Series!$B$5:$B$31,$A11),3),"n.d.")</f>
        <v>35.75</v>
      </c>
      <c r="H11" s="16" t="n">
        <f aca="false">IFERROR(ROUND(AVERAGEIFS(Series!$O$5:$O$31,Series!$B$5:$B$31,$A11),3),"n.d.")</f>
        <v>48.1</v>
      </c>
      <c r="I11" s="16" t="n">
        <f aca="false">IFERROR(ROUND(AVERAGEIFS(Series!$P$5:$P$31,Series!$B$5:$B$31,$A11),3),"n.d.")</f>
        <v>12.35</v>
      </c>
      <c r="J11" s="16" t="n">
        <f aca="false">IFERROR(ROUND(AVERAGEIFS(Series!$Q$5:$Q$31,Series!$B$5:$B$31,$A11),3),"n.d.")</f>
        <v>11</v>
      </c>
      <c r="K11" s="16" t="n">
        <f aca="false">IFERROR(ROUND(AVERAGEIFS(Series!$R$5:$R$31,Series!$B$5:$B$31,$A11),3),"n.d.")</f>
        <v>21</v>
      </c>
      <c r="L11" s="16" t="n">
        <f aca="false">IFERROR(ROUND(AVERAGEIFS(Series!$S$5:$S$31,Series!$B$5:$B$31,$A11),3),"n.d.")</f>
        <v>10</v>
      </c>
      <c r="M11" s="16" t="n">
        <f aca="false">IFERROR(ROUND(AVERAGEIFS(Series!$T$5:$T$31,Series!$B$5:$B$31,$A11),3),"n.d.")</f>
        <v>53.5</v>
      </c>
      <c r="N11" s="16" t="n">
        <f aca="false">IFERROR(ROUND(AVERAGEIFS(Series!$V$5:$V$31,Series!$B$5:$B$31,$A11),3),"n.d.")</f>
        <v>19.45</v>
      </c>
      <c r="O11" s="16" t="n">
        <f aca="false">IFERROR(ROUND(AVERAGEIFS(Series!$X$5:$X$31,Series!$B$5:$B$31,$A11),3),"n.d.")</f>
        <v>24.75</v>
      </c>
      <c r="P11" s="16" t="n">
        <f aca="false">IFERROR(ROUND(AVERAGEIFS(Series!$AJ$5:$AJ$31,Series!$B$5:$B$31,$A11),3),"n.d.")</f>
        <v>42.15</v>
      </c>
      <c r="Q11" s="18" t="n">
        <f aca="false">IFERROR(ROUND(AVERAGEIFS(Series!$AG$5:$AG$31,Series!$B$5:$B$31,$A11),5),"n.d.")</f>
        <v>0.23405</v>
      </c>
      <c r="R11" s="25" t="n">
        <f aca="false">IFERROR(ROUND(AVERAGEIFS(Series!$F$5:$F$31,Series!$B$5:$B$31,$A11),4),"n.d.")</f>
        <v>6.5833</v>
      </c>
      <c r="S11" s="25" t="n">
        <f aca="false">IFERROR(ROUND(AVERAGEIFS(Series!$H$5:$H$31,Series!$B$5:$B$31,$A11),4),"n.d.")</f>
        <v>6.9667</v>
      </c>
      <c r="T11" s="25" t="n">
        <f aca="false">IFERROR(ROUND(AVERAGEIFS(Series!$I$5:$I$31,Series!$B$5:$B$31,$A11),4),"n.d.")</f>
        <v>6.7067</v>
      </c>
      <c r="U11" s="11" t="s">
        <v>186</v>
      </c>
    </row>
    <row r="12" customFormat="false" ht="15" hidden="false" customHeight="false" outlineLevel="0" collapsed="false">
      <c r="A12" s="4" t="s">
        <v>101</v>
      </c>
      <c r="B12" s="11" t="s">
        <v>187</v>
      </c>
      <c r="C12" s="12" t="n">
        <f aca="false">COUNT('Muestra anterior'!B5:B8)</f>
        <v>4</v>
      </c>
      <c r="D12" s="24" t="n">
        <f aca="false">'Muestra anterior'!B18</f>
        <v>20.4</v>
      </c>
      <c r="E12" s="24" t="n">
        <f aca="false">'Muestra anterior'!B8</f>
        <v>16.8</v>
      </c>
      <c r="F12" s="24" t="n">
        <f aca="false">'Muestra anterior'!E18</f>
        <v>46.475</v>
      </c>
      <c r="G12" s="26" t="s">
        <v>188</v>
      </c>
      <c r="H12" s="26" t="s">
        <v>188</v>
      </c>
      <c r="I12" s="26" t="s">
        <v>188</v>
      </c>
      <c r="J12" s="26" t="s">
        <v>188</v>
      </c>
      <c r="K12" s="26" t="s">
        <v>188</v>
      </c>
      <c r="L12" s="26" t="s">
        <v>188</v>
      </c>
      <c r="M12" s="24" t="n">
        <f aca="false">'Muestra anterior'!I18</f>
        <v>50.325</v>
      </c>
      <c r="N12" s="26" t="s">
        <v>188</v>
      </c>
      <c r="O12" s="26" t="s">
        <v>188</v>
      </c>
      <c r="P12" s="24" t="n">
        <f aca="false">'Muestra anterior'!H18</f>
        <v>48.875</v>
      </c>
      <c r="Q12" s="26" t="s">
        <v>188</v>
      </c>
      <c r="R12" s="26" t="s">
        <v>188</v>
      </c>
      <c r="S12" s="26" t="s">
        <v>188</v>
      </c>
      <c r="T12" s="26" t="s">
        <v>188</v>
      </c>
    </row>
    <row r="14" customFormat="false" ht="15" hidden="false" customHeight="false" outlineLevel="0" collapsed="false">
      <c r="A14" s="20" t="s">
        <v>189</v>
      </c>
    </row>
    <row r="15" customFormat="false" ht="15" hidden="false" customHeight="false" outlineLevel="0" collapsed="false">
      <c r="A15" s="20" t="s">
        <v>190</v>
      </c>
    </row>
    <row r="16" customFormat="false" ht="15" hidden="false" customHeight="false" outlineLevel="0" collapsed="false">
      <c r="A16" s="20" t="s">
        <v>191</v>
      </c>
    </row>
    <row r="35" customFormat="false" ht="15" hidden="false" customHeight="false" outlineLevel="0" collapsed="false">
      <c r="A35" s="23" t="s">
        <v>192</v>
      </c>
    </row>
    <row r="54" customFormat="false" ht="15" hidden="false" customHeight="false" outlineLevel="0" collapsed="false">
      <c r="A54" s="23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5" min="3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3" min="11" style="0" width="13"/>
    <col collapsed="false" customWidth="true" hidden="false" outlineLevel="0" max="14" min="14" style="0" width="14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194</v>
      </c>
    </row>
    <row r="2" customFormat="false" ht="15" hidden="false" customHeight="false" outlineLevel="0" collapsed="false">
      <c r="A2" s="2" t="s">
        <v>195</v>
      </c>
    </row>
    <row r="4" customFormat="false" ht="15" hidden="false" customHeight="false" outlineLevel="0" collapsed="false">
      <c r="A4" s="3" t="s">
        <v>196</v>
      </c>
      <c r="I4" s="3" t="s">
        <v>197</v>
      </c>
    </row>
    <row r="5" customFormat="false" ht="63.75" hidden="false" customHeight="true" outlineLevel="0" collapsed="false">
      <c r="A5" s="10" t="s">
        <v>51</v>
      </c>
      <c r="B5" s="10" t="s">
        <v>52</v>
      </c>
      <c r="C5" s="10" t="s">
        <v>154</v>
      </c>
      <c r="D5" s="10" t="s">
        <v>198</v>
      </c>
      <c r="E5" s="10" t="s">
        <v>155</v>
      </c>
      <c r="F5" s="10" t="s">
        <v>199</v>
      </c>
      <c r="G5" s="10" t="s">
        <v>200</v>
      </c>
      <c r="I5" s="10" t="s">
        <v>51</v>
      </c>
      <c r="J5" s="10" t="s">
        <v>52</v>
      </c>
      <c r="K5" s="10" t="s">
        <v>154</v>
      </c>
      <c r="L5" s="10" t="s">
        <v>198</v>
      </c>
      <c r="M5" s="10" t="s">
        <v>155</v>
      </c>
      <c r="N5" s="10" t="s">
        <v>199</v>
      </c>
      <c r="O5" s="10" t="s">
        <v>200</v>
      </c>
    </row>
    <row r="6" customFormat="false" ht="15" hidden="false" customHeight="false" outlineLevel="0" collapsed="false">
      <c r="A6" s="4" t="s">
        <v>100</v>
      </c>
      <c r="B6" s="11" t="s">
        <v>101</v>
      </c>
      <c r="C6" s="24" t="n">
        <f aca="false">IF(Series!O5="","n.d.",Series!O5)</f>
        <v>54.1</v>
      </c>
      <c r="D6" s="24" t="n">
        <f aca="false">IF(Series!R5="","n.d.",Series!R5)</f>
        <v>31.6</v>
      </c>
      <c r="E6" s="24" t="str">
        <f aca="false">IF(Series!AL5="","n.d.",Series!AL5)</f>
        <v>n.d.</v>
      </c>
      <c r="F6" s="24" t="str">
        <f aca="false">IF(Series!Z5="","n.d.",Series!Z5)</f>
        <v>n.d.</v>
      </c>
      <c r="G6" s="27" t="str">
        <f aca="false">IF(Series!AI5="","n.d.",Series!AI5)</f>
        <v>n.d.</v>
      </c>
      <c r="I6" s="4" t="s">
        <v>100</v>
      </c>
      <c r="J6" s="11" t="s">
        <v>101</v>
      </c>
      <c r="K6" s="24" t="n">
        <f aca="false">IF(Series!N5="","n.d.",Series!N5)</f>
        <v>37.5</v>
      </c>
      <c r="L6" s="24" t="n">
        <f aca="false">IF(Series!Q5="","n.d.",Series!Q5)</f>
        <v>12.6</v>
      </c>
      <c r="M6" s="24" t="str">
        <f aca="false">IF(Series!AK5="","n.d.",Series!AK5)</f>
        <v>n.d.</v>
      </c>
      <c r="N6" s="24" t="str">
        <f aca="false">IF(Series!Y5="","n.d.",Series!Y5)</f>
        <v>n.d.</v>
      </c>
      <c r="O6" s="27" t="str">
        <f aca="false">IF(Series!AH5="","n.d.",Series!AH5)</f>
        <v>n.d.</v>
      </c>
    </row>
    <row r="7" customFormat="false" ht="15" hidden="false" customHeight="false" outlineLevel="0" collapsed="false">
      <c r="A7" s="4" t="s">
        <v>104</v>
      </c>
      <c r="B7" s="11" t="s">
        <v>101</v>
      </c>
      <c r="C7" s="24" t="n">
        <f aca="false">IF(Series!O6="","n.d.",Series!O6)</f>
        <v>56.4</v>
      </c>
      <c r="D7" s="24" t="n">
        <f aca="false">IF(Series!R6="","n.d.",Series!R6)</f>
        <v>30.6</v>
      </c>
      <c r="E7" s="24" t="n">
        <f aca="false">IF(Series!AL6="","n.d.",Series!AL6)</f>
        <v>38.6</v>
      </c>
      <c r="F7" s="24" t="n">
        <f aca="false">IF(Series!Z6="","n.d.",Series!Z6)</f>
        <v>38.8</v>
      </c>
      <c r="G7" s="27" t="n">
        <f aca="false">IF(Series!AI6="","n.d.",Series!AI6)</f>
        <v>0.0285714285714286</v>
      </c>
      <c r="I7" s="4" t="s">
        <v>104</v>
      </c>
      <c r="J7" s="11" t="s">
        <v>101</v>
      </c>
      <c r="K7" s="24" t="n">
        <f aca="false">IF(Series!N6="","n.d.",Series!N6)</f>
        <v>34.8</v>
      </c>
      <c r="L7" s="24" t="n">
        <f aca="false">IF(Series!Q6="","n.d.",Series!Q6)</f>
        <v>8</v>
      </c>
      <c r="M7" s="24" t="n">
        <f aca="false">IF(Series!AK6="","n.d.",Series!AK6)</f>
        <v>36</v>
      </c>
      <c r="N7" s="24" t="n">
        <f aca="false">IF(Series!Y6="","n.d.",Series!Y6)</f>
        <v>17.7</v>
      </c>
      <c r="O7" s="27" t="n">
        <f aca="false">IF(Series!AH6="","n.d.",Series!AH6)</f>
        <v>0.333333333333333</v>
      </c>
    </row>
    <row r="8" customFormat="false" ht="15" hidden="false" customHeight="false" outlineLevel="0" collapsed="false">
      <c r="A8" s="4" t="s">
        <v>105</v>
      </c>
      <c r="B8" s="11" t="s">
        <v>101</v>
      </c>
      <c r="C8" s="24" t="n">
        <f aca="false">IF(Series!O7="","n.d.",Series!O7)</f>
        <v>54.3</v>
      </c>
      <c r="D8" s="24" t="str">
        <f aca="false">IF(Series!R7="","n.d.",Series!R7)</f>
        <v>n.d.</v>
      </c>
      <c r="E8" s="24" t="str">
        <f aca="false">IF(Series!AL7="","n.d.",Series!AL7)</f>
        <v>n.d.</v>
      </c>
      <c r="F8" s="24" t="str">
        <f aca="false">IF(Series!Z7="","n.d.",Series!Z7)</f>
        <v>n.d.</v>
      </c>
      <c r="G8" s="27" t="str">
        <f aca="false">IF(Series!AI7="","n.d.",Series!AI7)</f>
        <v>n.d.</v>
      </c>
      <c r="I8" s="4" t="s">
        <v>105</v>
      </c>
      <c r="J8" s="11" t="s">
        <v>101</v>
      </c>
      <c r="K8" s="24" t="n">
        <f aca="false">IF(Series!N7="","n.d.",Series!N7)</f>
        <v>34.6</v>
      </c>
      <c r="L8" s="24" t="str">
        <f aca="false">IF(Series!Q7="","n.d.",Series!Q7)</f>
        <v>n.d.</v>
      </c>
      <c r="M8" s="24" t="str">
        <f aca="false">IF(Series!AK7="","n.d.",Series!AK7)</f>
        <v>n.d.</v>
      </c>
      <c r="N8" s="24" t="str">
        <f aca="false">IF(Series!Y7="","n.d.",Series!Y7)</f>
        <v>n.d.</v>
      </c>
      <c r="O8" s="27" t="str">
        <f aca="false">IF(Series!AH7="","n.d.",Series!AH7)</f>
        <v>n.d.</v>
      </c>
    </row>
    <row r="9" customFormat="false" ht="15" hidden="false" customHeight="false" outlineLevel="0" collapsed="false">
      <c r="A9" s="4" t="s">
        <v>106</v>
      </c>
      <c r="B9" s="11" t="s">
        <v>101</v>
      </c>
      <c r="C9" s="24" t="n">
        <f aca="false">IF(Series!O8="","n.d.",Series!O8)</f>
        <v>46.9</v>
      </c>
      <c r="D9" s="24" t="n">
        <f aca="false">IF(Series!R8="","n.d.",Series!R8)</f>
        <v>19.8</v>
      </c>
      <c r="E9" s="24" t="str">
        <f aca="false">IF(Series!AL8="","n.d.",Series!AL8)</f>
        <v>n.d.</v>
      </c>
      <c r="F9" s="24" t="str">
        <f aca="false">IF(Series!Z8="","n.d.",Series!Z8)</f>
        <v>n.d.</v>
      </c>
      <c r="G9" s="27" t="str">
        <f aca="false">IF(Series!AI8="","n.d.",Series!AI8)</f>
        <v>n.d.</v>
      </c>
      <c r="I9" s="4" t="s">
        <v>106</v>
      </c>
      <c r="J9" s="11" t="s">
        <v>101</v>
      </c>
      <c r="K9" s="24" t="n">
        <f aca="false">IF(Series!N8="","n.d.",Series!N8)</f>
        <v>38.7</v>
      </c>
      <c r="L9" s="24" t="n">
        <f aca="false">IF(Series!Q8="","n.d.",Series!Q8)</f>
        <v>12.8</v>
      </c>
      <c r="M9" s="24" t="str">
        <f aca="false">IF(Series!AK8="","n.d.",Series!AK8)</f>
        <v>n.d.</v>
      </c>
      <c r="N9" s="24" t="str">
        <f aca="false">IF(Series!Y8="","n.d.",Series!Y8)</f>
        <v>n.d.</v>
      </c>
      <c r="O9" s="27" t="str">
        <f aca="false">IF(Series!AH8="","n.d.",Series!AH8)</f>
        <v>n.d.</v>
      </c>
    </row>
    <row r="10" customFormat="false" ht="15" hidden="false" customHeight="false" outlineLevel="0" collapsed="false">
      <c r="A10" s="4" t="s">
        <v>108</v>
      </c>
      <c r="B10" s="11" t="s">
        <v>109</v>
      </c>
      <c r="C10" s="24" t="n">
        <f aca="false">IF(Series!O9="","n.d.",Series!O9)</f>
        <v>51.9</v>
      </c>
      <c r="D10" s="24" t="n">
        <f aca="false">IF(Series!R9="","n.d.",Series!R9)</f>
        <v>25.1</v>
      </c>
      <c r="E10" s="24" t="str">
        <f aca="false">IF(Series!AL9="","n.d.",Series!AL9)</f>
        <v>n.d.</v>
      </c>
      <c r="F10" s="24" t="str">
        <f aca="false">IF(Series!Z9="","n.d.",Series!Z9)</f>
        <v>n.d.</v>
      </c>
      <c r="G10" s="27" t="str">
        <f aca="false">IF(Series!AI9="","n.d.",Series!AI9)</f>
        <v>n.d.</v>
      </c>
      <c r="I10" s="4" t="s">
        <v>108</v>
      </c>
      <c r="J10" s="11" t="s">
        <v>109</v>
      </c>
      <c r="K10" s="24" t="n">
        <f aca="false">IF(Series!N9="","n.d.",Series!N9)</f>
        <v>37.5</v>
      </c>
      <c r="L10" s="24" t="n">
        <f aca="false">IF(Series!Q9="","n.d.",Series!Q9)</f>
        <v>14.3</v>
      </c>
      <c r="M10" s="24" t="str">
        <f aca="false">IF(Series!AK9="","n.d.",Series!AK9)</f>
        <v>n.d.</v>
      </c>
      <c r="N10" s="24" t="str">
        <f aca="false">IF(Series!Y9="","n.d.",Series!Y9)</f>
        <v>n.d.</v>
      </c>
      <c r="O10" s="27" t="str">
        <f aca="false">IF(Series!AH9="","n.d.",Series!AH9)</f>
        <v>n.d.</v>
      </c>
    </row>
    <row r="11" customFormat="false" ht="15" hidden="false" customHeight="false" outlineLevel="0" collapsed="false">
      <c r="A11" s="4" t="s">
        <v>110</v>
      </c>
      <c r="B11" s="11" t="s">
        <v>109</v>
      </c>
      <c r="C11" s="24" t="n">
        <f aca="false">IF(Series!O10="","n.d.",Series!O10)</f>
        <v>48.6</v>
      </c>
      <c r="D11" s="24" t="n">
        <f aca="false">IF(Series!R10="","n.d.",Series!R10)</f>
        <v>22.9</v>
      </c>
      <c r="E11" s="24" t="n">
        <f aca="false">IF(Series!AL10="","n.d.",Series!AL10)</f>
        <v>35.1</v>
      </c>
      <c r="F11" s="24" t="n">
        <f aca="false">IF(Series!Z10="","n.d.",Series!Z10)</f>
        <v>38.8</v>
      </c>
      <c r="G11" s="27" t="n">
        <f aca="false">IF(Series!AI10="","n.d.",Series!AI10)</f>
        <v>0.084</v>
      </c>
      <c r="I11" s="4" t="s">
        <v>110</v>
      </c>
      <c r="J11" s="11" t="s">
        <v>109</v>
      </c>
      <c r="K11" s="24" t="n">
        <f aca="false">IF(Series!N10="","n.d.",Series!N10)</f>
        <v>35</v>
      </c>
      <c r="L11" s="24" t="n">
        <f aca="false">IF(Series!Q10="","n.d.",Series!Q10)</f>
        <v>9.5</v>
      </c>
      <c r="M11" s="24" t="n">
        <f aca="false">IF(Series!AK10="","n.d.",Series!AK10)</f>
        <v>31.8</v>
      </c>
      <c r="N11" s="24" t="n">
        <f aca="false">IF(Series!Y10="","n.d.",Series!Y10)</f>
        <v>24.4</v>
      </c>
      <c r="O11" s="27" t="n">
        <f aca="false">IF(Series!AH10="","n.d.",Series!AH10)</f>
        <v>0.326241134751773</v>
      </c>
    </row>
    <row r="12" customFormat="false" ht="15" hidden="false" customHeight="false" outlineLevel="0" collapsed="false">
      <c r="A12" s="4" t="s">
        <v>112</v>
      </c>
      <c r="B12" s="11" t="s">
        <v>109</v>
      </c>
      <c r="C12" s="24" t="n">
        <f aca="false">IF(Series!O11="","n.d.",Series!O11)</f>
        <v>52.1</v>
      </c>
      <c r="D12" s="24" t="str">
        <f aca="false">IF(Series!R11="","n.d.",Series!R11)</f>
        <v>n.d.</v>
      </c>
      <c r="E12" s="24" t="str">
        <f aca="false">IF(Series!AL11="","n.d.",Series!AL11)</f>
        <v>n.d.</v>
      </c>
      <c r="F12" s="24" t="str">
        <f aca="false">IF(Series!Z11="","n.d.",Series!Z11)</f>
        <v>n.d.</v>
      </c>
      <c r="G12" s="27" t="str">
        <f aca="false">IF(Series!AI11="","n.d.",Series!AI11)</f>
        <v>n.d.</v>
      </c>
      <c r="I12" s="4" t="s">
        <v>112</v>
      </c>
      <c r="J12" s="11" t="s">
        <v>109</v>
      </c>
      <c r="K12" s="24" t="n">
        <f aca="false">IF(Series!N11="","n.d.",Series!N11)</f>
        <v>35.6</v>
      </c>
      <c r="L12" s="24" t="str">
        <f aca="false">IF(Series!Q11="","n.d.",Series!Q11)</f>
        <v>n.d.</v>
      </c>
      <c r="M12" s="24" t="str">
        <f aca="false">IF(Series!AK11="","n.d.",Series!AK11)</f>
        <v>n.d.</v>
      </c>
      <c r="N12" s="24" t="str">
        <f aca="false">IF(Series!Y11="","n.d.",Series!Y11)</f>
        <v>n.d.</v>
      </c>
      <c r="O12" s="27" t="str">
        <f aca="false">IF(Series!AH11="","n.d.",Series!AH11)</f>
        <v>n.d.</v>
      </c>
    </row>
    <row r="13" customFormat="false" ht="15" hidden="false" customHeight="false" outlineLevel="0" collapsed="false">
      <c r="A13" s="4" t="s">
        <v>113</v>
      </c>
      <c r="B13" s="11" t="s">
        <v>109</v>
      </c>
      <c r="C13" s="24" t="n">
        <f aca="false">IF(Series!O12="","n.d.",Series!O12)</f>
        <v>54.4</v>
      </c>
      <c r="D13" s="24" t="n">
        <f aca="false">IF(Series!R12="","n.d.",Series!R12)</f>
        <v>23</v>
      </c>
      <c r="E13" s="24" t="str">
        <f aca="false">IF(Series!AL12="","n.d.",Series!AL12)</f>
        <v>n.d.</v>
      </c>
      <c r="F13" s="24" t="str">
        <f aca="false">IF(Series!Z12="","n.d.",Series!Z12)</f>
        <v>n.d.</v>
      </c>
      <c r="G13" s="27" t="str">
        <f aca="false">IF(Series!AI12="","n.d.",Series!AI12)</f>
        <v>n.d.</v>
      </c>
      <c r="I13" s="4" t="s">
        <v>113</v>
      </c>
      <c r="J13" s="11" t="s">
        <v>109</v>
      </c>
      <c r="K13" s="24" t="n">
        <f aca="false">IF(Series!N12="","n.d.",Series!N12)</f>
        <v>35.3</v>
      </c>
      <c r="L13" s="24" t="n">
        <f aca="false">IF(Series!Q12="","n.d.",Series!Q12)</f>
        <v>7.2</v>
      </c>
      <c r="M13" s="24" t="str">
        <f aca="false">IF(Series!AK12="","n.d.",Series!AK12)</f>
        <v>n.d.</v>
      </c>
      <c r="N13" s="24" t="str">
        <f aca="false">IF(Series!Y12="","n.d.",Series!Y12)</f>
        <v>n.d.</v>
      </c>
      <c r="O13" s="27" t="str">
        <f aca="false">IF(Series!AH12="","n.d.",Series!AH12)</f>
        <v>n.d.</v>
      </c>
    </row>
    <row r="14" customFormat="false" ht="15" hidden="false" customHeight="false" outlineLevel="0" collapsed="false">
      <c r="A14" s="4" t="s">
        <v>114</v>
      </c>
      <c r="B14" s="11" t="s">
        <v>115</v>
      </c>
      <c r="C14" s="24" t="n">
        <f aca="false">IF(Series!O13="","n.d.",Series!O13)</f>
        <v>47.8</v>
      </c>
      <c r="D14" s="24" t="n">
        <f aca="false">IF(Series!R13="","n.d.",Series!R13)</f>
        <v>24</v>
      </c>
      <c r="E14" s="24" t="str">
        <f aca="false">IF(Series!AL13="","n.d.",Series!AL13)</f>
        <v>n.d.</v>
      </c>
      <c r="F14" s="24" t="str">
        <f aca="false">IF(Series!Z13="","n.d.",Series!Z13)</f>
        <v>n.d.</v>
      </c>
      <c r="G14" s="27" t="str">
        <f aca="false">IF(Series!AI13="","n.d.",Series!AI13)</f>
        <v>n.d.</v>
      </c>
      <c r="I14" s="4" t="s">
        <v>114</v>
      </c>
      <c r="J14" s="11" t="s">
        <v>115</v>
      </c>
      <c r="K14" s="24" t="n">
        <f aca="false">IF(Series!N13="","n.d.",Series!N13)</f>
        <v>41.1</v>
      </c>
      <c r="L14" s="24" t="n">
        <f aca="false">IF(Series!Q13="","n.d.",Series!Q13)</f>
        <v>14.1</v>
      </c>
      <c r="M14" s="24" t="str">
        <f aca="false">IF(Series!AK13="","n.d.",Series!AK13)</f>
        <v>n.d.</v>
      </c>
      <c r="N14" s="24" t="str">
        <f aca="false">IF(Series!Y13="","n.d.",Series!Y13)</f>
        <v>n.d.</v>
      </c>
      <c r="O14" s="27" t="str">
        <f aca="false">IF(Series!AH13="","n.d.",Series!AH13)</f>
        <v>n.d.</v>
      </c>
    </row>
    <row r="15" customFormat="false" ht="15" hidden="false" customHeight="false" outlineLevel="0" collapsed="false">
      <c r="A15" s="4" t="s">
        <v>116</v>
      </c>
      <c r="B15" s="11" t="s">
        <v>115</v>
      </c>
      <c r="C15" s="24" t="n">
        <f aca="false">IF(Series!O14="","n.d.",Series!O14)</f>
        <v>51.8</v>
      </c>
      <c r="D15" s="24" t="n">
        <f aca="false">IF(Series!R14="","n.d.",Series!R14)</f>
        <v>24.6</v>
      </c>
      <c r="E15" s="24" t="n">
        <f aca="false">IF(Series!AL14="","n.d.",Series!AL14)</f>
        <v>23.2</v>
      </c>
      <c r="F15" s="24" t="n">
        <f aca="false">IF(Series!Z14="","n.d.",Series!Z14)</f>
        <v>39.5</v>
      </c>
      <c r="G15" s="27" t="n">
        <f aca="false">IF(Series!AI14="","n.d.",Series!AI14)</f>
        <v>0.0716981132075472</v>
      </c>
      <c r="I15" s="4" t="s">
        <v>116</v>
      </c>
      <c r="J15" s="11" t="s">
        <v>115</v>
      </c>
      <c r="K15" s="24" t="n">
        <f aca="false">IF(Series!N14="","n.d.",Series!N14)</f>
        <v>38.7</v>
      </c>
      <c r="L15" s="24" t="n">
        <f aca="false">IF(Series!Q14="","n.d.",Series!Q14)</f>
        <v>14.7</v>
      </c>
      <c r="M15" s="24" t="n">
        <f aca="false">IF(Series!AK14="","n.d.",Series!AK14)</f>
        <v>9.7</v>
      </c>
      <c r="N15" s="24" t="n">
        <f aca="false">IF(Series!Y14="","n.d.",Series!Y14)</f>
        <v>26.2</v>
      </c>
      <c r="O15" s="27" t="n">
        <f aca="false">IF(Series!AH14="","n.d.",Series!AH14)</f>
        <v>0.0925925925925926</v>
      </c>
    </row>
    <row r="16" customFormat="false" ht="15" hidden="false" customHeight="false" outlineLevel="0" collapsed="false">
      <c r="A16" s="4" t="s">
        <v>117</v>
      </c>
      <c r="B16" s="11" t="s">
        <v>115</v>
      </c>
      <c r="C16" s="24" t="n">
        <f aca="false">IF(Series!O15="","n.d.",Series!O15)</f>
        <v>45.1</v>
      </c>
      <c r="D16" s="24" t="str">
        <f aca="false">IF(Series!R15="","n.d.",Series!R15)</f>
        <v>n.d.</v>
      </c>
      <c r="E16" s="24" t="str">
        <f aca="false">IF(Series!AL15="","n.d.",Series!AL15)</f>
        <v>n.d.</v>
      </c>
      <c r="F16" s="24" t="str">
        <f aca="false">IF(Series!Z15="","n.d.",Series!Z15)</f>
        <v>n.d.</v>
      </c>
      <c r="G16" s="27" t="str">
        <f aca="false">IF(Series!AI15="","n.d.",Series!AI15)</f>
        <v>n.d.</v>
      </c>
      <c r="I16" s="4" t="s">
        <v>117</v>
      </c>
      <c r="J16" s="11" t="s">
        <v>115</v>
      </c>
      <c r="K16" s="24" t="n">
        <f aca="false">IF(Series!N15="","n.d.",Series!N15)</f>
        <v>37</v>
      </c>
      <c r="L16" s="24" t="str">
        <f aca="false">IF(Series!Q15="","n.d.",Series!Q15)</f>
        <v>n.d.</v>
      </c>
      <c r="M16" s="24" t="str">
        <f aca="false">IF(Series!AK15="","n.d.",Series!AK15)</f>
        <v>n.d.</v>
      </c>
      <c r="N16" s="24" t="str">
        <f aca="false">IF(Series!Y15="","n.d.",Series!Y15)</f>
        <v>n.d.</v>
      </c>
      <c r="O16" s="27" t="str">
        <f aca="false">IF(Series!AH15="","n.d.",Series!AH15)</f>
        <v>n.d.</v>
      </c>
    </row>
    <row r="17" customFormat="false" ht="15" hidden="false" customHeight="false" outlineLevel="0" collapsed="false">
      <c r="A17" s="4" t="s">
        <v>118</v>
      </c>
      <c r="B17" s="11" t="s">
        <v>115</v>
      </c>
      <c r="C17" s="24" t="n">
        <f aca="false">IF(Series!O16="","n.d.",Series!O16)</f>
        <v>38.9</v>
      </c>
      <c r="D17" s="24" t="n">
        <f aca="false">IF(Series!R16="","n.d.",Series!R16)</f>
        <v>20.5</v>
      </c>
      <c r="E17" s="24" t="str">
        <f aca="false">IF(Series!AL16="","n.d.",Series!AL16)</f>
        <v>n.d.</v>
      </c>
      <c r="F17" s="24" t="str">
        <f aca="false">IF(Series!Z16="","n.d.",Series!Z16)</f>
        <v>n.d.</v>
      </c>
      <c r="G17" s="27" t="str">
        <f aca="false">IF(Series!AI16="","n.d.",Series!AI16)</f>
        <v>n.d.</v>
      </c>
      <c r="I17" s="4" t="s">
        <v>118</v>
      </c>
      <c r="J17" s="11" t="s">
        <v>115</v>
      </c>
      <c r="K17" s="24" t="n">
        <f aca="false">IF(Series!N16="","n.d.",Series!N16)</f>
        <v>36.9</v>
      </c>
      <c r="L17" s="24" t="n">
        <f aca="false">IF(Series!Q16="","n.d.",Series!Q16)</f>
        <v>13</v>
      </c>
      <c r="M17" s="24" t="str">
        <f aca="false">IF(Series!AK16="","n.d.",Series!AK16)</f>
        <v>n.d.</v>
      </c>
      <c r="N17" s="24" t="str">
        <f aca="false">IF(Series!Y16="","n.d.",Series!Y16)</f>
        <v>n.d.</v>
      </c>
      <c r="O17" s="27" t="str">
        <f aca="false">IF(Series!AH16="","n.d.",Series!AH16)</f>
        <v>n.d.</v>
      </c>
    </row>
    <row r="18" customFormat="false" ht="15" hidden="false" customHeight="false" outlineLevel="0" collapsed="false">
      <c r="A18" s="4" t="s">
        <v>119</v>
      </c>
      <c r="B18" s="11" t="s">
        <v>120</v>
      </c>
      <c r="C18" s="24" t="n">
        <f aca="false">IF(Series!O17="","n.d.",Series!O17)</f>
        <v>44.8</v>
      </c>
      <c r="D18" s="24" t="n">
        <f aca="false">IF(Series!R17="","n.d.",Series!R17)</f>
        <v>19.9</v>
      </c>
      <c r="E18" s="24" t="str">
        <f aca="false">IF(Series!AL17="","n.d.",Series!AL17)</f>
        <v>n.d.</v>
      </c>
      <c r="F18" s="24" t="str">
        <f aca="false">IF(Series!Z17="","n.d.",Series!Z17)</f>
        <v>n.d.</v>
      </c>
      <c r="G18" s="27" t="str">
        <f aca="false">IF(Series!AI17="","n.d.",Series!AI17)</f>
        <v>n.d.</v>
      </c>
      <c r="I18" s="4" t="s">
        <v>119</v>
      </c>
      <c r="J18" s="11" t="s">
        <v>120</v>
      </c>
      <c r="K18" s="24" t="n">
        <f aca="false">IF(Series!N17="","n.d.",Series!N17)</f>
        <v>35.7</v>
      </c>
      <c r="L18" s="24" t="n">
        <f aca="false">IF(Series!Q17="","n.d.",Series!Q17)</f>
        <v>15.3</v>
      </c>
      <c r="M18" s="24" t="str">
        <f aca="false">IF(Series!AK17="","n.d.",Series!AK17)</f>
        <v>n.d.</v>
      </c>
      <c r="N18" s="24" t="str">
        <f aca="false">IF(Series!Y17="","n.d.",Series!Y17)</f>
        <v>n.d.</v>
      </c>
      <c r="O18" s="27" t="str">
        <f aca="false">IF(Series!AH17="","n.d.",Series!AH17)</f>
        <v>n.d.</v>
      </c>
    </row>
    <row r="19" customFormat="false" ht="15" hidden="false" customHeight="false" outlineLevel="0" collapsed="false">
      <c r="A19" s="4" t="s">
        <v>121</v>
      </c>
      <c r="B19" s="11" t="s">
        <v>120</v>
      </c>
      <c r="C19" s="24" t="n">
        <f aca="false">IF(Series!O18="","n.d.",Series!O18)</f>
        <v>43.4</v>
      </c>
      <c r="D19" s="24" t="n">
        <f aca="false">IF(Series!R18="","n.d.",Series!R18)</f>
        <v>21.6</v>
      </c>
      <c r="E19" s="24" t="n">
        <f aca="false">IF(Series!AL18="","n.d.",Series!AL18)</f>
        <v>25.6</v>
      </c>
      <c r="F19" s="24" t="n">
        <f aca="false">IF(Series!Z18="","n.d.",Series!Z18)</f>
        <v>38.5</v>
      </c>
      <c r="G19" s="27" t="n">
        <f aca="false">IF(Series!AI18="","n.d.",Series!AI18)</f>
        <v>0.0136986301369863</v>
      </c>
      <c r="I19" s="4" t="s">
        <v>121</v>
      </c>
      <c r="J19" s="11" t="s">
        <v>120</v>
      </c>
      <c r="K19" s="24" t="n">
        <f aca="false">IF(Series!N18="","n.d.",Series!N18)</f>
        <v>36.6</v>
      </c>
      <c r="L19" s="24" t="n">
        <f aca="false">IF(Series!Q18="","n.d.",Series!Q18)</f>
        <v>14</v>
      </c>
      <c r="M19" s="24" t="n">
        <f aca="false">IF(Series!AK18="","n.d.",Series!AK18)</f>
        <v>28</v>
      </c>
      <c r="N19" s="24" t="n">
        <f aca="false">IF(Series!Y18="","n.d.",Series!Y18)</f>
        <v>27.7</v>
      </c>
      <c r="O19" s="27" t="n">
        <f aca="false">IF(Series!AH18="","n.d.",Series!AH18)</f>
        <v>0.0410958904109589</v>
      </c>
    </row>
    <row r="20" customFormat="false" ht="15" hidden="false" customHeight="false" outlineLevel="0" collapsed="false">
      <c r="A20" s="4" t="s">
        <v>123</v>
      </c>
      <c r="B20" s="11" t="s">
        <v>120</v>
      </c>
      <c r="C20" s="24" t="n">
        <f aca="false">IF(Series!O19="","n.d.",Series!O19)</f>
        <v>42.4</v>
      </c>
      <c r="D20" s="24" t="str">
        <f aca="false">IF(Series!R19="","n.d.",Series!R19)</f>
        <v>n.d.</v>
      </c>
      <c r="E20" s="24" t="str">
        <f aca="false">IF(Series!AL19="","n.d.",Series!AL19)</f>
        <v>n.d.</v>
      </c>
      <c r="F20" s="24" t="str">
        <f aca="false">IF(Series!Z19="","n.d.",Series!Z19)</f>
        <v>n.d.</v>
      </c>
      <c r="G20" s="27" t="str">
        <f aca="false">IF(Series!AI19="","n.d.",Series!AI19)</f>
        <v>n.d.</v>
      </c>
      <c r="I20" s="4" t="s">
        <v>123</v>
      </c>
      <c r="J20" s="11" t="s">
        <v>120</v>
      </c>
      <c r="K20" s="24" t="n">
        <f aca="false">IF(Series!N19="","n.d.",Series!N19)</f>
        <v>35.5</v>
      </c>
      <c r="L20" s="24" t="str">
        <f aca="false">IF(Series!Q19="","n.d.",Series!Q19)</f>
        <v>n.d.</v>
      </c>
      <c r="M20" s="24" t="str">
        <f aca="false">IF(Series!AK19="","n.d.",Series!AK19)</f>
        <v>n.d.</v>
      </c>
      <c r="N20" s="24" t="str">
        <f aca="false">IF(Series!Y19="","n.d.",Series!Y19)</f>
        <v>n.d.</v>
      </c>
      <c r="O20" s="27" t="str">
        <f aca="false">IF(Series!AH19="","n.d.",Series!AH19)</f>
        <v>n.d.</v>
      </c>
    </row>
    <row r="21" customFormat="false" ht="15" hidden="false" customHeight="false" outlineLevel="0" collapsed="false">
      <c r="A21" s="4" t="s">
        <v>124</v>
      </c>
      <c r="B21" s="11" t="s">
        <v>120</v>
      </c>
      <c r="C21" s="24" t="n">
        <f aca="false">IF(Series!O20="","n.d.",Series!O20)</f>
        <v>44.3</v>
      </c>
      <c r="D21" s="24" t="n">
        <f aca="false">IF(Series!R20="","n.d.",Series!R20)</f>
        <v>18.6</v>
      </c>
      <c r="E21" s="24" t="str">
        <f aca="false">IF(Series!AL20="","n.d.",Series!AL20)</f>
        <v>n.d.</v>
      </c>
      <c r="F21" s="24" t="str">
        <f aca="false">IF(Series!Z20="","n.d.",Series!Z20)</f>
        <v>n.d.</v>
      </c>
      <c r="G21" s="27" t="str">
        <f aca="false">IF(Series!AI20="","n.d.",Series!AI20)</f>
        <v>n.d.</v>
      </c>
      <c r="I21" s="4" t="s">
        <v>124</v>
      </c>
      <c r="J21" s="11" t="s">
        <v>120</v>
      </c>
      <c r="K21" s="24" t="n">
        <f aca="false">IF(Series!N20="","n.d.",Series!N20)</f>
        <v>40.1</v>
      </c>
      <c r="L21" s="24" t="n">
        <f aca="false">IF(Series!Q20="","n.d.",Series!Q20)</f>
        <v>15.3</v>
      </c>
      <c r="M21" s="24" t="str">
        <f aca="false">IF(Series!AK20="","n.d.",Series!AK20)</f>
        <v>n.d.</v>
      </c>
      <c r="N21" s="24" t="str">
        <f aca="false">IF(Series!Y20="","n.d.",Series!Y20)</f>
        <v>n.d.</v>
      </c>
      <c r="O21" s="27" t="str">
        <f aca="false">IF(Series!AH20="","n.d.",Series!AH20)</f>
        <v>n.d.</v>
      </c>
    </row>
    <row r="22" customFormat="false" ht="15" hidden="false" customHeight="false" outlineLevel="0" collapsed="false">
      <c r="A22" s="4" t="s">
        <v>125</v>
      </c>
      <c r="B22" s="11" t="s">
        <v>126</v>
      </c>
      <c r="C22" s="24" t="n">
        <f aca="false">IF(Series!O21="","n.d.",Series!O21)</f>
        <v>46.5</v>
      </c>
      <c r="D22" s="24" t="n">
        <f aca="false">IF(Series!R21="","n.d.",Series!R21)</f>
        <v>20.2</v>
      </c>
      <c r="E22" s="24" t="str">
        <f aca="false">IF(Series!AL21="","n.d.",Series!AL21)</f>
        <v>n.d.</v>
      </c>
      <c r="F22" s="24" t="str">
        <f aca="false">IF(Series!Z21="","n.d.",Series!Z21)</f>
        <v>n.d.</v>
      </c>
      <c r="G22" s="27" t="str">
        <f aca="false">IF(Series!AI21="","n.d.",Series!AI21)</f>
        <v>n.d.</v>
      </c>
      <c r="I22" s="4" t="s">
        <v>125</v>
      </c>
      <c r="J22" s="11" t="s">
        <v>126</v>
      </c>
      <c r="K22" s="24" t="n">
        <f aca="false">IF(Series!N21="","n.d.",Series!N21)</f>
        <v>38.6</v>
      </c>
      <c r="L22" s="24" t="n">
        <f aca="false">IF(Series!Q21="","n.d.",Series!Q21)</f>
        <v>16.3</v>
      </c>
      <c r="M22" s="24" t="str">
        <f aca="false">IF(Series!AK21="","n.d.",Series!AK21)</f>
        <v>n.d.</v>
      </c>
      <c r="N22" s="24" t="str">
        <f aca="false">IF(Series!Y21="","n.d.",Series!Y21)</f>
        <v>n.d.</v>
      </c>
      <c r="O22" s="27" t="str">
        <f aca="false">IF(Series!AH21="","n.d.",Series!AH21)</f>
        <v>n.d.</v>
      </c>
    </row>
    <row r="23" customFormat="false" ht="15" hidden="false" customHeight="false" outlineLevel="0" collapsed="false">
      <c r="A23" s="4" t="s">
        <v>129</v>
      </c>
      <c r="B23" s="11" t="s">
        <v>126</v>
      </c>
      <c r="C23" s="24" t="n">
        <f aca="false">IF(Series!O22="","n.d.",Series!O22)</f>
        <v>46.2</v>
      </c>
      <c r="D23" s="24" t="n">
        <f aca="false">IF(Series!R22="","n.d.",Series!R22)</f>
        <v>22.2</v>
      </c>
      <c r="E23" s="24" t="n">
        <f aca="false">IF(Series!AL22="","n.d.",Series!AL22)</f>
        <v>42.2</v>
      </c>
      <c r="F23" s="24" t="n">
        <f aca="false">IF(Series!Z22="","n.d.",Series!Z22)</f>
        <v>36.7</v>
      </c>
      <c r="G23" s="27" t="n">
        <f aca="false">IF(Series!AI22="","n.d.",Series!AI22)</f>
        <v>0.0305676855895197</v>
      </c>
      <c r="I23" s="4" t="s">
        <v>129</v>
      </c>
      <c r="J23" s="11" t="s">
        <v>126</v>
      </c>
      <c r="K23" s="24" t="n">
        <f aca="false">IF(Series!N22="","n.d.",Series!N22)</f>
        <v>39.3</v>
      </c>
      <c r="L23" s="24" t="n">
        <f aca="false">IF(Series!Q22="","n.d.",Series!Q22)</f>
        <v>11.2</v>
      </c>
      <c r="M23" s="24" t="n">
        <f aca="false">IF(Series!AK22="","n.d.",Series!AK22)</f>
        <v>24.4</v>
      </c>
      <c r="N23" s="24" t="n">
        <f aca="false">IF(Series!Y22="","n.d.",Series!Y22)</f>
        <v>26.5</v>
      </c>
      <c r="O23" s="27" t="n">
        <f aca="false">IF(Series!AH22="","n.d.",Series!AH22)</f>
        <v>0.0427350427350427</v>
      </c>
    </row>
    <row r="24" customFormat="false" ht="15" hidden="false" customHeight="false" outlineLevel="0" collapsed="false">
      <c r="A24" s="4" t="s">
        <v>130</v>
      </c>
      <c r="B24" s="11" t="s">
        <v>126</v>
      </c>
      <c r="C24" s="24" t="n">
        <f aca="false">IF(Series!O23="","n.d.",Series!O23)</f>
        <v>47.5</v>
      </c>
      <c r="D24" s="24" t="str">
        <f aca="false">IF(Series!R23="","n.d.",Series!R23)</f>
        <v>n.d.</v>
      </c>
      <c r="E24" s="24" t="str">
        <f aca="false">IF(Series!AL23="","n.d.",Series!AL23)</f>
        <v>n.d.</v>
      </c>
      <c r="F24" s="24" t="str">
        <f aca="false">IF(Series!Z23="","n.d.",Series!Z23)</f>
        <v>n.d.</v>
      </c>
      <c r="G24" s="27" t="str">
        <f aca="false">IF(Series!AI23="","n.d.",Series!AI23)</f>
        <v>n.d.</v>
      </c>
      <c r="I24" s="4" t="s">
        <v>130</v>
      </c>
      <c r="J24" s="11" t="s">
        <v>126</v>
      </c>
      <c r="K24" s="24" t="n">
        <f aca="false">IF(Series!N23="","n.d.",Series!N23)</f>
        <v>38.9</v>
      </c>
      <c r="L24" s="24" t="str">
        <f aca="false">IF(Series!Q23="","n.d.",Series!Q23)</f>
        <v>n.d.</v>
      </c>
      <c r="M24" s="24" t="str">
        <f aca="false">IF(Series!AK23="","n.d.",Series!AK23)</f>
        <v>n.d.</v>
      </c>
      <c r="N24" s="24" t="str">
        <f aca="false">IF(Series!Y23="","n.d.",Series!Y23)</f>
        <v>n.d.</v>
      </c>
      <c r="O24" s="27" t="str">
        <f aca="false">IF(Series!AH23="","n.d.",Series!AH23)</f>
        <v>n.d.</v>
      </c>
    </row>
    <row r="25" customFormat="false" ht="15" hidden="false" customHeight="false" outlineLevel="0" collapsed="false">
      <c r="A25" s="4" t="s">
        <v>131</v>
      </c>
      <c r="B25" s="11" t="s">
        <v>126</v>
      </c>
      <c r="C25" s="24" t="n">
        <f aca="false">IF(Series!O24="","n.d.",Series!O24)</f>
        <v>48</v>
      </c>
      <c r="D25" s="24" t="n">
        <f aca="false">IF(Series!R24="","n.d.",Series!R24)</f>
        <v>21.4</v>
      </c>
      <c r="E25" s="24" t="str">
        <f aca="false">IF(Series!AL24="","n.d.",Series!AL24)</f>
        <v>n.d.</v>
      </c>
      <c r="F25" s="24" t="str">
        <f aca="false">IF(Series!Z24="","n.d.",Series!Z24)</f>
        <v>n.d.</v>
      </c>
      <c r="G25" s="27" t="str">
        <f aca="false">IF(Series!AI24="","n.d.",Series!AI24)</f>
        <v>n.d.</v>
      </c>
      <c r="I25" s="4" t="s">
        <v>131</v>
      </c>
      <c r="J25" s="11" t="s">
        <v>126</v>
      </c>
      <c r="K25" s="24" t="n">
        <f aca="false">IF(Series!N24="","n.d.",Series!N24)</f>
        <v>34.8</v>
      </c>
      <c r="L25" s="24" t="n">
        <f aca="false">IF(Series!Q24="","n.d.",Series!Q24)</f>
        <v>10.9</v>
      </c>
      <c r="M25" s="24" t="str">
        <f aca="false">IF(Series!AK24="","n.d.",Series!AK24)</f>
        <v>n.d.</v>
      </c>
      <c r="N25" s="24" t="str">
        <f aca="false">IF(Series!Y24="","n.d.",Series!Y24)</f>
        <v>n.d.</v>
      </c>
      <c r="O25" s="27" t="str">
        <f aca="false">IF(Series!AH24="","n.d.",Series!AH24)</f>
        <v>n.d.</v>
      </c>
    </row>
    <row r="26" customFormat="false" ht="15" hidden="false" customHeight="false" outlineLevel="0" collapsed="false">
      <c r="A26" s="4" t="s">
        <v>132</v>
      </c>
      <c r="B26" s="11" t="s">
        <v>133</v>
      </c>
      <c r="C26" s="24" t="n">
        <f aca="false">IF(Series!O25="","n.d.",Series!O25)</f>
        <v>45.9</v>
      </c>
      <c r="D26" s="24" t="n">
        <f aca="false">IF(Series!R25="","n.d.",Series!R25)</f>
        <v>23.6</v>
      </c>
      <c r="E26" s="24" t="str">
        <f aca="false">IF(Series!AL25="","n.d.",Series!AL25)</f>
        <v>n.d.</v>
      </c>
      <c r="F26" s="24" t="str">
        <f aca="false">IF(Series!Z25="","n.d.",Series!Z25)</f>
        <v>n.d.</v>
      </c>
      <c r="G26" s="27" t="str">
        <f aca="false">IF(Series!AI25="","n.d.",Series!AI25)</f>
        <v>n.d.</v>
      </c>
      <c r="I26" s="4" t="s">
        <v>132</v>
      </c>
      <c r="J26" s="11" t="s">
        <v>133</v>
      </c>
      <c r="K26" s="24" t="n">
        <f aca="false">IF(Series!N25="","n.d.",Series!N25)</f>
        <v>36.3</v>
      </c>
      <c r="L26" s="24" t="n">
        <f aca="false">IF(Series!Q25="","n.d.",Series!Q25)</f>
        <v>12</v>
      </c>
      <c r="M26" s="24" t="str">
        <f aca="false">IF(Series!AK25="","n.d.",Series!AK25)</f>
        <v>n.d.</v>
      </c>
      <c r="N26" s="24" t="str">
        <f aca="false">IF(Series!Y25="","n.d.",Series!Y25)</f>
        <v>n.d.</v>
      </c>
      <c r="O26" s="27" t="str">
        <f aca="false">IF(Series!AH25="","n.d.",Series!AH25)</f>
        <v>n.d.</v>
      </c>
    </row>
    <row r="27" customFormat="false" ht="15" hidden="false" customHeight="false" outlineLevel="0" collapsed="false">
      <c r="A27" s="4" t="s">
        <v>134</v>
      </c>
      <c r="B27" s="11" t="s">
        <v>133</v>
      </c>
      <c r="C27" s="24" t="n">
        <f aca="false">IF(Series!O26="","n.d.",Series!O26)</f>
        <v>46</v>
      </c>
      <c r="D27" s="24" t="n">
        <f aca="false">IF(Series!R26="","n.d.",Series!R26)</f>
        <v>21.4</v>
      </c>
      <c r="E27" s="24" t="n">
        <f aca="false">IF(Series!AL26="","n.d.",Series!AL26)</f>
        <v>58.8</v>
      </c>
      <c r="F27" s="24" t="n">
        <f aca="false">IF(Series!Z26="","n.d.",Series!Z26)</f>
        <v>39.7</v>
      </c>
      <c r="G27" s="27" t="n">
        <f aca="false">IF(Series!AI26="","n.d.",Series!AI26)</f>
        <v>0.0735930735930736</v>
      </c>
      <c r="I27" s="4" t="s">
        <v>134</v>
      </c>
      <c r="J27" s="11" t="s">
        <v>133</v>
      </c>
      <c r="K27" s="24" t="n">
        <f aca="false">IF(Series!N26="","n.d.",Series!N26)</f>
        <v>34.5</v>
      </c>
      <c r="L27" s="24" t="n">
        <f aca="false">IF(Series!Q26="","n.d.",Series!Q26)</f>
        <v>14.1</v>
      </c>
      <c r="M27" s="24" t="n">
        <f aca="false">IF(Series!AK26="","n.d.",Series!AK26)</f>
        <v>44.3</v>
      </c>
      <c r="N27" s="24" t="n">
        <f aca="false">IF(Series!Y26="","n.d.",Series!Y26)</f>
        <v>28.6</v>
      </c>
      <c r="O27" s="27" t="n">
        <f aca="false">IF(Series!AH26="","n.d.",Series!AH26)</f>
        <v>0.0472972972972973</v>
      </c>
    </row>
    <row r="28" customFormat="false" ht="15" hidden="false" customHeight="false" outlineLevel="0" collapsed="false">
      <c r="A28" s="4" t="s">
        <v>135</v>
      </c>
      <c r="B28" s="11" t="s">
        <v>133</v>
      </c>
      <c r="C28" s="24" t="n">
        <f aca="false">IF(Series!O27="","n.d.",Series!O27)</f>
        <v>45.5</v>
      </c>
      <c r="D28" s="24" t="str">
        <f aca="false">IF(Series!R27="","n.d.",Series!R27)</f>
        <v>n.d.</v>
      </c>
      <c r="E28" s="24" t="str">
        <f aca="false">IF(Series!AL27="","n.d.",Series!AL27)</f>
        <v>n.d.</v>
      </c>
      <c r="F28" s="24" t="str">
        <f aca="false">IF(Series!Z27="","n.d.",Series!Z27)</f>
        <v>n.d.</v>
      </c>
      <c r="G28" s="27" t="str">
        <f aca="false">IF(Series!AI27="","n.d.",Series!AI27)</f>
        <v>n.d.</v>
      </c>
      <c r="I28" s="4" t="s">
        <v>135</v>
      </c>
      <c r="J28" s="11" t="s">
        <v>133</v>
      </c>
      <c r="K28" s="24" t="n">
        <f aca="false">IF(Series!N27="","n.d.",Series!N27)</f>
        <v>36.6</v>
      </c>
      <c r="L28" s="24" t="str">
        <f aca="false">IF(Series!Q27="","n.d.",Series!Q27)</f>
        <v>n.d.</v>
      </c>
      <c r="M28" s="24" t="str">
        <f aca="false">IF(Series!AK27="","n.d.",Series!AK27)</f>
        <v>n.d.</v>
      </c>
      <c r="N28" s="24" t="str">
        <f aca="false">IF(Series!Y27="","n.d.",Series!Y27)</f>
        <v>n.d.</v>
      </c>
      <c r="O28" s="27" t="str">
        <f aca="false">IF(Series!AH27="","n.d.",Series!AH27)</f>
        <v>n.d.</v>
      </c>
    </row>
    <row r="29" customFormat="false" ht="15" hidden="false" customHeight="false" outlineLevel="0" collapsed="false">
      <c r="A29" s="4" t="s">
        <v>136</v>
      </c>
      <c r="B29" s="11" t="s">
        <v>133</v>
      </c>
      <c r="C29" s="24" t="n">
        <f aca="false">IF(Series!O28="","n.d.",Series!O28)</f>
        <v>48</v>
      </c>
      <c r="D29" s="24" t="n">
        <f aca="false">IF(Series!R28="","n.d.",Series!R28)</f>
        <v>22.2</v>
      </c>
      <c r="E29" s="24" t="str">
        <f aca="false">IF(Series!AL28="","n.d.",Series!AL28)</f>
        <v>n.d.</v>
      </c>
      <c r="F29" s="24" t="str">
        <f aca="false">IF(Series!Z28="","n.d.",Series!Z28)</f>
        <v>n.d.</v>
      </c>
      <c r="G29" s="27" t="str">
        <f aca="false">IF(Series!AI28="","n.d.",Series!AI28)</f>
        <v>n.d.</v>
      </c>
      <c r="I29" s="4" t="s">
        <v>136</v>
      </c>
      <c r="J29" s="11" t="s">
        <v>133</v>
      </c>
      <c r="K29" s="24" t="n">
        <f aca="false">IF(Series!N28="","n.d.",Series!N28)</f>
        <v>37.1</v>
      </c>
      <c r="L29" s="24" t="n">
        <f aca="false">IF(Series!Q28="","n.d.",Series!Q28)</f>
        <v>14.5</v>
      </c>
      <c r="M29" s="24" t="str">
        <f aca="false">IF(Series!AK28="","n.d.",Series!AK28)</f>
        <v>n.d.</v>
      </c>
      <c r="N29" s="24" t="str">
        <f aca="false">IF(Series!Y28="","n.d.",Series!Y28)</f>
        <v>n.d.</v>
      </c>
      <c r="O29" s="27" t="str">
        <f aca="false">IF(Series!AH28="","n.d.",Series!AH28)</f>
        <v>n.d.</v>
      </c>
    </row>
    <row r="30" customFormat="false" ht="15" hidden="false" customHeight="false" outlineLevel="0" collapsed="false">
      <c r="A30" s="4" t="s">
        <v>137</v>
      </c>
      <c r="B30" s="11" t="s">
        <v>138</v>
      </c>
      <c r="C30" s="24" t="n">
        <f aca="false">IF(Series!O29="","n.d.",Series!O29)</f>
        <v>46.5</v>
      </c>
      <c r="D30" s="24" t="n">
        <f aca="false">IF(Series!R29="","n.d.",Series!R29)</f>
        <v>20.4</v>
      </c>
      <c r="E30" s="24" t="str">
        <f aca="false">IF(Series!AL29="","n.d.",Series!AL29)</f>
        <v>n.d.</v>
      </c>
      <c r="F30" s="24" t="str">
        <f aca="false">IF(Series!Z29="","n.d.",Series!Z29)</f>
        <v>n.d.</v>
      </c>
      <c r="G30" s="27" t="str">
        <f aca="false">IF(Series!AI29="","n.d.",Series!AI29)</f>
        <v>n.d.</v>
      </c>
      <c r="I30" s="4" t="s">
        <v>137</v>
      </c>
      <c r="J30" s="11" t="s">
        <v>138</v>
      </c>
      <c r="K30" s="24" t="n">
        <f aca="false">IF(Series!N29="","n.d.",Series!N29)</f>
        <v>35.8</v>
      </c>
      <c r="L30" s="24" t="n">
        <f aca="false">IF(Series!Q29="","n.d.",Series!Q29)</f>
        <v>12.1</v>
      </c>
      <c r="M30" s="24" t="str">
        <f aca="false">IF(Series!AK29="","n.d.",Series!AK29)</f>
        <v>n.d.</v>
      </c>
      <c r="N30" s="24" t="str">
        <f aca="false">IF(Series!Y29="","n.d.",Series!Y29)</f>
        <v>n.d.</v>
      </c>
      <c r="O30" s="27" t="str">
        <f aca="false">IF(Series!AH29="","n.d.",Series!AH29)</f>
        <v>n.d.</v>
      </c>
    </row>
    <row r="31" customFormat="false" ht="15" hidden="false" customHeight="false" outlineLevel="0" collapsed="false">
      <c r="A31" s="4" t="s">
        <v>140</v>
      </c>
      <c r="B31" s="11" t="s">
        <v>138</v>
      </c>
      <c r="C31" s="24" t="n">
        <f aca="false">IF(Series!O30="","n.d.",Series!O30)</f>
        <v>49.7</v>
      </c>
      <c r="D31" s="24" t="n">
        <f aca="false">IF(Series!R30="","n.d.",Series!R30)</f>
        <v>21.6</v>
      </c>
      <c r="E31" s="24" t="n">
        <f aca="false">IF(Series!AL30="","n.d.",Series!AL30)</f>
        <v>53.7</v>
      </c>
      <c r="F31" s="24" t="n">
        <f aca="false">IF(Series!Z30="","n.d.",Series!Z30)</f>
        <v>38.4</v>
      </c>
      <c r="G31" s="27" t="n">
        <f aca="false">IF(Series!AI30="","n.d.",Series!AI30)</f>
        <v>0.031390134529148</v>
      </c>
      <c r="I31" s="4" t="s">
        <v>140</v>
      </c>
      <c r="J31" s="11" t="s">
        <v>138</v>
      </c>
      <c r="K31" s="24" t="n">
        <f aca="false">IF(Series!N30="","n.d.",Series!N30)</f>
        <v>35.7</v>
      </c>
      <c r="L31" s="24" t="n">
        <f aca="false">IF(Series!Q30="","n.d.",Series!Q30)</f>
        <v>9.9</v>
      </c>
      <c r="M31" s="24" t="n">
        <f aca="false">IF(Series!AK30="","n.d.",Series!AK30)</f>
        <v>35.3</v>
      </c>
      <c r="N31" s="24" t="n">
        <f aca="false">IF(Series!Y30="","n.d.",Series!Y30)</f>
        <v>22.7</v>
      </c>
      <c r="O31" s="27" t="n">
        <f aca="false">IF(Series!AH30="","n.d.",Series!AH30)</f>
        <v>0.282608695652174</v>
      </c>
    </row>
    <row r="32" customFormat="false" ht="15" hidden="false" customHeight="false" outlineLevel="0" collapsed="false">
      <c r="A32" s="4" t="s">
        <v>142</v>
      </c>
      <c r="B32" s="11" t="s">
        <v>138</v>
      </c>
      <c r="C32" s="24" t="str">
        <f aca="false">IF(Series!O31="","n.d.",Series!O31)</f>
        <v>n.d.</v>
      </c>
      <c r="D32" s="24" t="str">
        <f aca="false">IF(Series!R31="","n.d.",Series!R31)</f>
        <v>n.d.</v>
      </c>
      <c r="E32" s="24" t="str">
        <f aca="false">IF(Series!AL31="","n.d.",Series!AL31)</f>
        <v>n.d.</v>
      </c>
      <c r="F32" s="24" t="str">
        <f aca="false">IF(Series!Z31="","n.d.",Series!Z31)</f>
        <v>n.d.</v>
      </c>
      <c r="G32" s="27" t="str">
        <f aca="false">IF(Series!AI31="","n.d.",Series!AI31)</f>
        <v>n.d.</v>
      </c>
      <c r="I32" s="4" t="s">
        <v>142</v>
      </c>
      <c r="J32" s="11" t="s">
        <v>138</v>
      </c>
      <c r="K32" s="24" t="str">
        <f aca="false">IF(Series!N31="","n.d.",Series!N31)</f>
        <v>n.d.</v>
      </c>
      <c r="L32" s="24" t="str">
        <f aca="false">IF(Series!Q31="","n.d.",Series!Q31)</f>
        <v>n.d.</v>
      </c>
      <c r="M32" s="24" t="str">
        <f aca="false">IF(Series!AK31="","n.d.",Series!AK31)</f>
        <v>n.d.</v>
      </c>
      <c r="N32" s="24" t="str">
        <f aca="false">IF(Series!Y31="","n.d.",Series!Y31)</f>
        <v>n.d.</v>
      </c>
      <c r="O32" s="27" t="str">
        <f aca="false">IF(Series!AH31="","n.d.",Series!AH31)</f>
        <v>n.d.</v>
      </c>
    </row>
    <row r="33" customFormat="false" ht="15" hidden="false" customHeight="false" outlineLevel="0" collapsed="false">
      <c r="A33" s="20" t="s">
        <v>201</v>
      </c>
    </row>
    <row r="35" customFormat="false" ht="15" hidden="false" customHeight="false" outlineLevel="0" collapsed="false">
      <c r="A35" s="3" t="s">
        <v>202</v>
      </c>
    </row>
    <row r="36" customFormat="false" ht="78" hidden="false" customHeight="true" outlineLevel="0" collapsed="false">
      <c r="A36" s="10" t="s">
        <v>52</v>
      </c>
      <c r="B36" s="10" t="s">
        <v>203</v>
      </c>
      <c r="C36" s="10" t="s">
        <v>204</v>
      </c>
      <c r="D36" s="10" t="s">
        <v>178</v>
      </c>
      <c r="E36" s="10" t="s">
        <v>205</v>
      </c>
      <c r="F36" s="10" t="s">
        <v>206</v>
      </c>
      <c r="G36" s="10" t="s">
        <v>179</v>
      </c>
      <c r="H36" s="10" t="s">
        <v>207</v>
      </c>
    </row>
    <row r="37" customFormat="false" ht="15" hidden="false" customHeight="false" outlineLevel="0" collapsed="false">
      <c r="A37" s="4" t="s">
        <v>101</v>
      </c>
      <c r="B37" s="16" t="n">
        <f aca="false">IFERROR(ROUND(AVERAGEIFS(Series!$N$5:$N$31,Series!$B$5:$B$31,$A37),3),"n.d.")</f>
        <v>36.4</v>
      </c>
      <c r="C37" s="16" t="n">
        <f aca="false">IFERROR(ROUND(AVERAGEIFS(Series!$O$5:$O$31,Series!$B$5:$B$31,$A37),3),"n.d.")</f>
        <v>52.925</v>
      </c>
      <c r="D37" s="16" t="n">
        <f aca="false">IFERROR(ROUND(AVERAGEIFS(Series!$P$5:$P$31,Series!$B$5:$B$31,$A37),3),"n.d.")</f>
        <v>16.525</v>
      </c>
      <c r="E37" s="16" t="n">
        <f aca="false">IFERROR(ROUND(AVERAGEIFS(Series!$Q$5:$Q$31,Series!$B$5:$B$31,$A37),3),"n.d.")</f>
        <v>11.133</v>
      </c>
      <c r="F37" s="16" t="n">
        <f aca="false">IFERROR(ROUND(AVERAGEIFS(Series!$R$5:$R$31,Series!$B$5:$B$31,$A37),3),"n.d.")</f>
        <v>27.333</v>
      </c>
      <c r="G37" s="16" t="n">
        <f aca="false">IFERROR(ROUND(AVERAGEIFS(Series!$S$5:$S$31,Series!$B$5:$B$31,$A37),3),"n.d.")</f>
        <v>16.2</v>
      </c>
      <c r="H37" s="12" t="n">
        <f aca="false">COUNTIFS(Series!$B$5:$B$31,$A37,Series!$Q$5:$Q$31,"&lt;&gt;")</f>
        <v>3</v>
      </c>
    </row>
    <row r="38" customFormat="false" ht="15" hidden="false" customHeight="false" outlineLevel="0" collapsed="false">
      <c r="A38" s="4" t="s">
        <v>109</v>
      </c>
      <c r="B38" s="16" t="n">
        <f aca="false">IFERROR(ROUND(AVERAGEIFS(Series!$N$5:$N$31,Series!$B$5:$B$31,$A38),3),"n.d.")</f>
        <v>35.85</v>
      </c>
      <c r="C38" s="16" t="n">
        <f aca="false">IFERROR(ROUND(AVERAGEIFS(Series!$O$5:$O$31,Series!$B$5:$B$31,$A38),3),"n.d.")</f>
        <v>51.75</v>
      </c>
      <c r="D38" s="16" t="n">
        <f aca="false">IFERROR(ROUND(AVERAGEIFS(Series!$P$5:$P$31,Series!$B$5:$B$31,$A38),3),"n.d.")</f>
        <v>15.9</v>
      </c>
      <c r="E38" s="16" t="n">
        <f aca="false">IFERROR(ROUND(AVERAGEIFS(Series!$Q$5:$Q$31,Series!$B$5:$B$31,$A38),3),"n.d.")</f>
        <v>10.333</v>
      </c>
      <c r="F38" s="16" t="n">
        <f aca="false">IFERROR(ROUND(AVERAGEIFS(Series!$R$5:$R$31,Series!$B$5:$B$31,$A38),3),"n.d.")</f>
        <v>23.667</v>
      </c>
      <c r="G38" s="16" t="n">
        <f aca="false">IFERROR(ROUND(AVERAGEIFS(Series!$S$5:$S$31,Series!$B$5:$B$31,$A38),3),"n.d.")</f>
        <v>13.333</v>
      </c>
      <c r="H38" s="12" t="n">
        <f aca="false">COUNTIFS(Series!$B$5:$B$31,$A38,Series!$Q$5:$Q$31,"&lt;&gt;")</f>
        <v>3</v>
      </c>
    </row>
    <row r="39" customFormat="false" ht="15" hidden="false" customHeight="false" outlineLevel="0" collapsed="false">
      <c r="A39" s="4" t="s">
        <v>115</v>
      </c>
      <c r="B39" s="16" t="n">
        <f aca="false">IFERROR(ROUND(AVERAGEIFS(Series!$N$5:$N$31,Series!$B$5:$B$31,$A39),3),"n.d.")</f>
        <v>38.425</v>
      </c>
      <c r="C39" s="16" t="n">
        <f aca="false">IFERROR(ROUND(AVERAGEIFS(Series!$O$5:$O$31,Series!$B$5:$B$31,$A39),3),"n.d.")</f>
        <v>45.9</v>
      </c>
      <c r="D39" s="16" t="n">
        <f aca="false">IFERROR(ROUND(AVERAGEIFS(Series!$P$5:$P$31,Series!$B$5:$B$31,$A39),3),"n.d.")</f>
        <v>7.475</v>
      </c>
      <c r="E39" s="16" t="n">
        <f aca="false">IFERROR(ROUND(AVERAGEIFS(Series!$Q$5:$Q$31,Series!$B$5:$B$31,$A39),3),"n.d.")</f>
        <v>13.933</v>
      </c>
      <c r="F39" s="16" t="n">
        <f aca="false">IFERROR(ROUND(AVERAGEIFS(Series!$R$5:$R$31,Series!$B$5:$B$31,$A39),3),"n.d.")</f>
        <v>23.033</v>
      </c>
      <c r="G39" s="16" t="n">
        <f aca="false">IFERROR(ROUND(AVERAGEIFS(Series!$S$5:$S$31,Series!$B$5:$B$31,$A39),3),"n.d.")</f>
        <v>9.1</v>
      </c>
      <c r="H39" s="12" t="n">
        <f aca="false">COUNTIFS(Series!$B$5:$B$31,$A39,Series!$Q$5:$Q$31,"&lt;&gt;")</f>
        <v>3</v>
      </c>
    </row>
    <row r="40" customFormat="false" ht="15" hidden="false" customHeight="false" outlineLevel="0" collapsed="false">
      <c r="A40" s="4" t="s">
        <v>120</v>
      </c>
      <c r="B40" s="16" t="n">
        <f aca="false">IFERROR(ROUND(AVERAGEIFS(Series!$N$5:$N$31,Series!$B$5:$B$31,$A40),3),"n.d.")</f>
        <v>36.975</v>
      </c>
      <c r="C40" s="16" t="n">
        <f aca="false">IFERROR(ROUND(AVERAGEIFS(Series!$O$5:$O$31,Series!$B$5:$B$31,$A40),3),"n.d.")</f>
        <v>43.725</v>
      </c>
      <c r="D40" s="16" t="n">
        <f aca="false">IFERROR(ROUND(AVERAGEIFS(Series!$P$5:$P$31,Series!$B$5:$B$31,$A40),3),"n.d.")</f>
        <v>6.75</v>
      </c>
      <c r="E40" s="16" t="n">
        <f aca="false">IFERROR(ROUND(AVERAGEIFS(Series!$Q$5:$Q$31,Series!$B$5:$B$31,$A40),3),"n.d.")</f>
        <v>14.867</v>
      </c>
      <c r="F40" s="16" t="n">
        <f aca="false">IFERROR(ROUND(AVERAGEIFS(Series!$R$5:$R$31,Series!$B$5:$B$31,$A40),3),"n.d.")</f>
        <v>20.033</v>
      </c>
      <c r="G40" s="16" t="n">
        <f aca="false">IFERROR(ROUND(AVERAGEIFS(Series!$S$5:$S$31,Series!$B$5:$B$31,$A40),3),"n.d.")</f>
        <v>5.167</v>
      </c>
      <c r="H40" s="12" t="n">
        <f aca="false">COUNTIFS(Series!$B$5:$B$31,$A40,Series!$Q$5:$Q$31,"&lt;&gt;")</f>
        <v>3</v>
      </c>
    </row>
    <row r="41" customFormat="false" ht="15" hidden="false" customHeight="false" outlineLevel="0" collapsed="false">
      <c r="A41" s="4" t="s">
        <v>126</v>
      </c>
      <c r="B41" s="16" t="n">
        <f aca="false">IFERROR(ROUND(AVERAGEIFS(Series!$N$5:$N$31,Series!$B$5:$B$31,$A41),3),"n.d.")</f>
        <v>37.9</v>
      </c>
      <c r="C41" s="16" t="n">
        <f aca="false">IFERROR(ROUND(AVERAGEIFS(Series!$O$5:$O$31,Series!$B$5:$B$31,$A41),3),"n.d.")</f>
        <v>47.05</v>
      </c>
      <c r="D41" s="16" t="n">
        <f aca="false">IFERROR(ROUND(AVERAGEIFS(Series!$P$5:$P$31,Series!$B$5:$B$31,$A41),3),"n.d.")</f>
        <v>9.15</v>
      </c>
      <c r="E41" s="16" t="n">
        <f aca="false">IFERROR(ROUND(AVERAGEIFS(Series!$Q$5:$Q$31,Series!$B$5:$B$31,$A41),3),"n.d.")</f>
        <v>12.8</v>
      </c>
      <c r="F41" s="16" t="n">
        <f aca="false">IFERROR(ROUND(AVERAGEIFS(Series!$R$5:$R$31,Series!$B$5:$B$31,$A41),3),"n.d.")</f>
        <v>21.267</v>
      </c>
      <c r="G41" s="16" t="n">
        <f aca="false">IFERROR(ROUND(AVERAGEIFS(Series!$S$5:$S$31,Series!$B$5:$B$31,$A41),3),"n.d.")</f>
        <v>8.467</v>
      </c>
      <c r="H41" s="12" t="n">
        <f aca="false">COUNTIFS(Series!$B$5:$B$31,$A41,Series!$Q$5:$Q$31,"&lt;&gt;")</f>
        <v>3</v>
      </c>
    </row>
    <row r="42" customFormat="false" ht="15" hidden="false" customHeight="false" outlineLevel="0" collapsed="false">
      <c r="A42" s="4" t="s">
        <v>133</v>
      </c>
      <c r="B42" s="16" t="n">
        <f aca="false">IFERROR(ROUND(AVERAGEIFS(Series!$N$5:$N$31,Series!$B$5:$B$31,$A42),3),"n.d.")</f>
        <v>36.125</v>
      </c>
      <c r="C42" s="16" t="n">
        <f aca="false">IFERROR(ROUND(AVERAGEIFS(Series!$O$5:$O$31,Series!$B$5:$B$31,$A42),3),"n.d.")</f>
        <v>46.35</v>
      </c>
      <c r="D42" s="16" t="n">
        <f aca="false">IFERROR(ROUND(AVERAGEIFS(Series!$P$5:$P$31,Series!$B$5:$B$31,$A42),3),"n.d.")</f>
        <v>10.225</v>
      </c>
      <c r="E42" s="16" t="n">
        <f aca="false">IFERROR(ROUND(AVERAGEIFS(Series!$Q$5:$Q$31,Series!$B$5:$B$31,$A42),3),"n.d.")</f>
        <v>13.533</v>
      </c>
      <c r="F42" s="16" t="n">
        <f aca="false">IFERROR(ROUND(AVERAGEIFS(Series!$R$5:$R$31,Series!$B$5:$B$31,$A42),3),"n.d.")</f>
        <v>22.4</v>
      </c>
      <c r="G42" s="16" t="n">
        <f aca="false">IFERROR(ROUND(AVERAGEIFS(Series!$S$5:$S$31,Series!$B$5:$B$31,$A42),3),"n.d.")</f>
        <v>8.867</v>
      </c>
      <c r="H42" s="12" t="n">
        <f aca="false">COUNTIFS(Series!$B$5:$B$31,$A42,Series!$Q$5:$Q$31,"&lt;&gt;")</f>
        <v>3</v>
      </c>
    </row>
    <row r="43" customFormat="false" ht="15" hidden="false" customHeight="false" outlineLevel="0" collapsed="false">
      <c r="A43" s="4" t="s">
        <v>138</v>
      </c>
      <c r="B43" s="16" t="n">
        <f aca="false">IFERROR(ROUND(AVERAGEIFS(Series!$N$5:$N$31,Series!$B$5:$B$31,$A43),3),"n.d.")</f>
        <v>35.75</v>
      </c>
      <c r="C43" s="16" t="n">
        <f aca="false">IFERROR(ROUND(AVERAGEIFS(Series!$O$5:$O$31,Series!$B$5:$B$31,$A43),3),"n.d.")</f>
        <v>48.1</v>
      </c>
      <c r="D43" s="16" t="n">
        <f aca="false">IFERROR(ROUND(AVERAGEIFS(Series!$P$5:$P$31,Series!$B$5:$B$31,$A43),3),"n.d.")</f>
        <v>12.35</v>
      </c>
      <c r="E43" s="16" t="n">
        <f aca="false">IFERROR(ROUND(AVERAGEIFS(Series!$Q$5:$Q$31,Series!$B$5:$B$31,$A43),3),"n.d.")</f>
        <v>11</v>
      </c>
      <c r="F43" s="16" t="n">
        <f aca="false">IFERROR(ROUND(AVERAGEIFS(Series!$R$5:$R$31,Series!$B$5:$B$31,$A43),3),"n.d.")</f>
        <v>21</v>
      </c>
      <c r="G43" s="16" t="n">
        <f aca="false">IFERROR(ROUND(AVERAGEIFS(Series!$S$5:$S$31,Series!$B$5:$B$31,$A43),3),"n.d.")</f>
        <v>10</v>
      </c>
      <c r="H43" s="12" t="n">
        <f aca="false">COUNTIFS(Series!$B$5:$B$31,$A43,Series!$Q$5:$Q$31,"&lt;&gt;")</f>
        <v>2</v>
      </c>
    </row>
    <row r="44" customFormat="false" ht="15" hidden="false" customHeight="false" outlineLevel="0" collapsed="false">
      <c r="A44" s="20" t="s">
        <v>208</v>
      </c>
    </row>
    <row r="46" customFormat="false" ht="15" hidden="false" customHeight="false" outlineLevel="0" collapsed="false">
      <c r="A46" s="3" t="s">
        <v>209</v>
      </c>
    </row>
    <row r="47" customFormat="false" ht="63.75" hidden="false" customHeight="true" outlineLevel="0" collapsed="false">
      <c r="A47" s="10" t="s">
        <v>51</v>
      </c>
      <c r="B47" s="10" t="s">
        <v>210</v>
      </c>
      <c r="C47" s="10" t="s">
        <v>211</v>
      </c>
      <c r="D47" s="10" t="s">
        <v>212</v>
      </c>
      <c r="E47" s="10" t="s">
        <v>213</v>
      </c>
      <c r="F47" s="10" t="s">
        <v>214</v>
      </c>
      <c r="G47" s="10" t="s">
        <v>215</v>
      </c>
      <c r="H47" s="10" t="s">
        <v>216</v>
      </c>
      <c r="I47" s="10" t="s">
        <v>217</v>
      </c>
    </row>
    <row r="48" customFormat="false" ht="15" hidden="false" customHeight="false" outlineLevel="0" collapsed="false">
      <c r="A48" s="4" t="s">
        <v>104</v>
      </c>
      <c r="B48" s="24" t="n">
        <f aca="false">Series!Q6</f>
        <v>8</v>
      </c>
      <c r="C48" s="27" t="n">
        <f aca="false">Series!AH6</f>
        <v>0.333333333333333</v>
      </c>
      <c r="D48" s="24" t="n">
        <f aca="false">Series!AK6</f>
        <v>36</v>
      </c>
      <c r="E48" s="24" t="n">
        <f aca="false">Series!Y6</f>
        <v>17.7</v>
      </c>
      <c r="F48" s="24" t="n">
        <f aca="false">Series!R6</f>
        <v>30.6</v>
      </c>
      <c r="G48" s="27" t="n">
        <f aca="false">Series!AI6</f>
        <v>0.0285714285714286</v>
      </c>
      <c r="H48" s="24" t="n">
        <f aca="false">Series!AL6</f>
        <v>38.6</v>
      </c>
      <c r="I48" s="24" t="n">
        <f aca="false">Series!Z6</f>
        <v>38.8</v>
      </c>
    </row>
    <row r="49" customFormat="false" ht="15" hidden="false" customHeight="false" outlineLevel="0" collapsed="false">
      <c r="A49" s="4" t="s">
        <v>110</v>
      </c>
      <c r="B49" s="24" t="n">
        <f aca="false">Series!Q10</f>
        <v>9.5</v>
      </c>
      <c r="C49" s="27" t="n">
        <f aca="false">Series!AH10</f>
        <v>0.326241134751773</v>
      </c>
      <c r="D49" s="24" t="n">
        <f aca="false">Series!AK10</f>
        <v>31.8</v>
      </c>
      <c r="E49" s="24" t="n">
        <f aca="false">Series!Y10</f>
        <v>24.4</v>
      </c>
      <c r="F49" s="24" t="n">
        <f aca="false">Series!R10</f>
        <v>22.9</v>
      </c>
      <c r="G49" s="27" t="n">
        <f aca="false">Series!AI10</f>
        <v>0.084</v>
      </c>
      <c r="H49" s="24" t="n">
        <f aca="false">Series!AL10</f>
        <v>35.1</v>
      </c>
      <c r="I49" s="24" t="n">
        <f aca="false">Series!Z10</f>
        <v>38.8</v>
      </c>
    </row>
    <row r="50" customFormat="false" ht="15" hidden="false" customHeight="false" outlineLevel="0" collapsed="false">
      <c r="A50" s="4" t="s">
        <v>116</v>
      </c>
      <c r="B50" s="24" t="n">
        <f aca="false">Series!Q14</f>
        <v>14.7</v>
      </c>
      <c r="C50" s="27" t="n">
        <f aca="false">Series!AH14</f>
        <v>0.0925925925925926</v>
      </c>
      <c r="D50" s="24" t="n">
        <f aca="false">Series!AK14</f>
        <v>9.7</v>
      </c>
      <c r="E50" s="24" t="n">
        <f aca="false">Series!Y14</f>
        <v>26.2</v>
      </c>
      <c r="F50" s="24" t="n">
        <f aca="false">Series!R14</f>
        <v>24.6</v>
      </c>
      <c r="G50" s="27" t="n">
        <f aca="false">Series!AI14</f>
        <v>0.0716981132075472</v>
      </c>
      <c r="H50" s="24" t="n">
        <f aca="false">Series!AL14</f>
        <v>23.2</v>
      </c>
      <c r="I50" s="24" t="n">
        <f aca="false">Series!Z14</f>
        <v>39.5</v>
      </c>
    </row>
    <row r="51" customFormat="false" ht="15" hidden="false" customHeight="false" outlineLevel="0" collapsed="false">
      <c r="A51" s="4" t="s">
        <v>121</v>
      </c>
      <c r="B51" s="24" t="n">
        <f aca="false">Series!Q18</f>
        <v>14</v>
      </c>
      <c r="C51" s="27" t="n">
        <f aca="false">Series!AH18</f>
        <v>0.0410958904109589</v>
      </c>
      <c r="D51" s="24" t="n">
        <f aca="false">Series!AK18</f>
        <v>28</v>
      </c>
      <c r="E51" s="24" t="n">
        <f aca="false">Series!Y18</f>
        <v>27.7</v>
      </c>
      <c r="F51" s="24" t="n">
        <f aca="false">Series!R18</f>
        <v>21.6</v>
      </c>
      <c r="G51" s="27" t="n">
        <f aca="false">Series!AI18</f>
        <v>0.0136986301369863</v>
      </c>
      <c r="H51" s="24" t="n">
        <f aca="false">Series!AL18</f>
        <v>25.6</v>
      </c>
      <c r="I51" s="24" t="n">
        <f aca="false">Series!Z18</f>
        <v>38.5</v>
      </c>
    </row>
    <row r="52" customFormat="false" ht="15" hidden="false" customHeight="false" outlineLevel="0" collapsed="false">
      <c r="A52" s="4" t="s">
        <v>129</v>
      </c>
      <c r="B52" s="24" t="n">
        <f aca="false">Series!Q22</f>
        <v>11.2</v>
      </c>
      <c r="C52" s="27" t="n">
        <f aca="false">Series!AH22</f>
        <v>0.0427350427350427</v>
      </c>
      <c r="D52" s="24" t="n">
        <f aca="false">Series!AK22</f>
        <v>24.4</v>
      </c>
      <c r="E52" s="24" t="n">
        <f aca="false">Series!Y22</f>
        <v>26.5</v>
      </c>
      <c r="F52" s="24" t="n">
        <f aca="false">Series!R22</f>
        <v>22.2</v>
      </c>
      <c r="G52" s="27" t="n">
        <f aca="false">Series!AI22</f>
        <v>0.0305676855895197</v>
      </c>
      <c r="H52" s="24" t="n">
        <f aca="false">Series!AL22</f>
        <v>42.2</v>
      </c>
      <c r="I52" s="24" t="n">
        <f aca="false">Series!Z22</f>
        <v>36.7</v>
      </c>
    </row>
    <row r="53" customFormat="false" ht="15" hidden="false" customHeight="false" outlineLevel="0" collapsed="false">
      <c r="A53" s="4" t="s">
        <v>134</v>
      </c>
      <c r="B53" s="24" t="n">
        <f aca="false">Series!Q26</f>
        <v>14.1</v>
      </c>
      <c r="C53" s="27" t="n">
        <f aca="false">Series!AH26</f>
        <v>0.0472972972972973</v>
      </c>
      <c r="D53" s="24" t="n">
        <f aca="false">Series!AK26</f>
        <v>44.3</v>
      </c>
      <c r="E53" s="24" t="n">
        <f aca="false">Series!Y26</f>
        <v>28.6</v>
      </c>
      <c r="F53" s="24" t="n">
        <f aca="false">Series!R26</f>
        <v>21.4</v>
      </c>
      <c r="G53" s="27" t="n">
        <f aca="false">Series!AI26</f>
        <v>0.0735930735930736</v>
      </c>
      <c r="H53" s="24" t="n">
        <f aca="false">Series!AL26</f>
        <v>58.8</v>
      </c>
      <c r="I53" s="24" t="n">
        <f aca="false">Series!Z26</f>
        <v>39.7</v>
      </c>
    </row>
    <row r="54" customFormat="false" ht="15" hidden="false" customHeight="false" outlineLevel="0" collapsed="false">
      <c r="A54" s="4" t="s">
        <v>140</v>
      </c>
      <c r="B54" s="24" t="n">
        <f aca="false">Series!Q30</f>
        <v>9.9</v>
      </c>
      <c r="C54" s="27" t="n">
        <f aca="false">Series!AH30</f>
        <v>0.282608695652174</v>
      </c>
      <c r="D54" s="24" t="n">
        <f aca="false">Series!AK30</f>
        <v>35.3</v>
      </c>
      <c r="E54" s="24" t="n">
        <f aca="false">Series!Y30</f>
        <v>22.7</v>
      </c>
      <c r="F54" s="24" t="n">
        <f aca="false">Series!R30</f>
        <v>21.6</v>
      </c>
      <c r="G54" s="27" t="n">
        <f aca="false">Series!AI30</f>
        <v>0.031390134529148</v>
      </c>
      <c r="H54" s="24" t="n">
        <f aca="false">Series!AL30</f>
        <v>53.7</v>
      </c>
      <c r="I54" s="24" t="n">
        <f aca="false">Series!Z30</f>
        <v>38.4</v>
      </c>
    </row>
    <row r="55" customFormat="false" ht="15" hidden="false" customHeight="false" outlineLevel="0" collapsed="false">
      <c r="A55" s="23" t="s">
        <v>218</v>
      </c>
    </row>
    <row r="74" customFormat="false" ht="15" hidden="false" customHeight="false" outlineLevel="0" collapsed="false">
      <c r="A74" s="23" t="s">
        <v>219</v>
      </c>
    </row>
    <row r="93" customFormat="false" ht="15" hidden="false" customHeight="false" outlineLevel="0" collapsed="false">
      <c r="A93" s="23" t="s">
        <v>220</v>
      </c>
    </row>
    <row r="112" customFormat="false" ht="15" hidden="false" customHeight="false" outlineLevel="0" collapsed="false">
      <c r="A112" s="23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10" min="7" style="0" width="12"/>
  </cols>
  <sheetData>
    <row r="1" customFormat="false" ht="17.35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223</v>
      </c>
    </row>
    <row r="4" customFormat="false" ht="15" hidden="false" customHeight="false" outlineLevel="0" collapsed="false">
      <c r="A4" s="3" t="s">
        <v>224</v>
      </c>
    </row>
    <row r="5" customFormat="false" ht="63.75" hidden="false" customHeight="true" outlineLevel="0" collapsed="false">
      <c r="A5" s="10" t="s">
        <v>51</v>
      </c>
      <c r="B5" s="10" t="s">
        <v>52</v>
      </c>
      <c r="C5" s="10" t="s">
        <v>225</v>
      </c>
      <c r="D5" s="10" t="s">
        <v>226</v>
      </c>
      <c r="E5" s="10" t="s">
        <v>227</v>
      </c>
      <c r="F5" s="10" t="s">
        <v>228</v>
      </c>
      <c r="G5" s="10" t="s">
        <v>229</v>
      </c>
      <c r="H5" s="10" t="s">
        <v>230</v>
      </c>
      <c r="I5" s="10" t="s">
        <v>231</v>
      </c>
      <c r="J5" s="10" t="s">
        <v>232</v>
      </c>
    </row>
    <row r="6" customFormat="false" ht="15" hidden="false" customHeight="false" outlineLevel="0" collapsed="false">
      <c r="A6" s="4" t="s">
        <v>100</v>
      </c>
      <c r="B6" s="11" t="s">
        <v>101</v>
      </c>
      <c r="C6" s="24" t="n">
        <f aca="false">IF(Series!AC5="","n.d.",Series!AC5)</f>
        <v>3</v>
      </c>
      <c r="D6" s="27" t="n">
        <f aca="false">IF(Series!AG5="","n.d.",Series!AG5)</f>
        <v>0.168539325842697</v>
      </c>
      <c r="E6" s="27" t="str">
        <f aca="false">IF(Series!AH5="","n.d.",Series!AH5)</f>
        <v>n.d.</v>
      </c>
      <c r="F6" s="27" t="str">
        <f aca="false">IF(Series!AI5="","n.d.",Series!AI5)</f>
        <v>n.d.</v>
      </c>
      <c r="G6" s="24" t="n">
        <f aca="false">IF(Series!AJ5="","n.d.",Series!AJ5)</f>
        <v>49.1</v>
      </c>
      <c r="H6" s="24" t="str">
        <f aca="false">IF(Series!AK5="","n.d.",Series!AK5)</f>
        <v>n.d.</v>
      </c>
      <c r="I6" s="24" t="str">
        <f aca="false">IF(Series!AL5="","n.d.",Series!AL5)</f>
        <v>n.d.</v>
      </c>
      <c r="J6" s="24" t="n">
        <f aca="false">IF(Series!AM5="","n.d.",Series!AM5)</f>
        <v>43.1</v>
      </c>
    </row>
    <row r="7" customFormat="false" ht="15" hidden="false" customHeight="false" outlineLevel="0" collapsed="false">
      <c r="A7" s="4" t="s">
        <v>104</v>
      </c>
      <c r="B7" s="11" t="s">
        <v>101</v>
      </c>
      <c r="C7" s="24" t="n">
        <f aca="false">IF(Series!AC6="","n.d.",Series!AC6)</f>
        <v>3.7</v>
      </c>
      <c r="D7" s="27" t="n">
        <f aca="false">IF(Series!AG6="","n.d.",Series!AG6)</f>
        <v>0.258741258741259</v>
      </c>
      <c r="E7" s="27" t="n">
        <f aca="false">IF(Series!AH6="","n.d.",Series!AH6)</f>
        <v>0.333333333333333</v>
      </c>
      <c r="F7" s="27" t="n">
        <f aca="false">IF(Series!AI6="","n.d.",Series!AI6)</f>
        <v>0.0285714285714286</v>
      </c>
      <c r="G7" s="24" t="n">
        <f aca="false">IF(Series!AJ6="","n.d.",Series!AJ6)</f>
        <v>36.8</v>
      </c>
      <c r="H7" s="24" t="n">
        <f aca="false">IF(Series!AK6="","n.d.",Series!AK6)</f>
        <v>36</v>
      </c>
      <c r="I7" s="24" t="n">
        <f aca="false">IF(Series!AL6="","n.d.",Series!AL6)</f>
        <v>38.6</v>
      </c>
      <c r="J7" s="24" t="n">
        <f aca="false">IF(Series!AM6="","n.d.",Series!AM6)</f>
        <v>48.2</v>
      </c>
    </row>
    <row r="8" customFormat="false" ht="15" hidden="false" customHeight="false" outlineLevel="0" collapsed="false">
      <c r="A8" s="4" t="s">
        <v>105</v>
      </c>
      <c r="B8" s="11" t="s">
        <v>101</v>
      </c>
      <c r="C8" s="24" t="n">
        <f aca="false">IF(Series!AC7="","n.d.",Series!AC7)</f>
        <v>3.2</v>
      </c>
      <c r="D8" s="27" t="n">
        <f aca="false">IF(Series!AG7="","n.d.",Series!AG7)</f>
        <v>0.2</v>
      </c>
      <c r="E8" s="27" t="str">
        <f aca="false">IF(Series!AH7="","n.d.",Series!AH7)</f>
        <v>n.d.</v>
      </c>
      <c r="F8" s="27" t="str">
        <f aca="false">IF(Series!AI7="","n.d.",Series!AI7)</f>
        <v>n.d.</v>
      </c>
      <c r="G8" s="24" t="n">
        <f aca="false">IF(Series!AJ7="","n.d.",Series!AJ7)</f>
        <v>39.9</v>
      </c>
      <c r="H8" s="24" t="str">
        <f aca="false">IF(Series!AK7="","n.d.",Series!AK7)</f>
        <v>n.d.</v>
      </c>
      <c r="I8" s="24" t="str">
        <f aca="false">IF(Series!AL7="","n.d.",Series!AL7)</f>
        <v>n.d.</v>
      </c>
      <c r="J8" s="24" t="n">
        <f aca="false">IF(Series!AM7="","n.d.",Series!AM7)</f>
        <v>36.7</v>
      </c>
    </row>
    <row r="9" customFormat="false" ht="15" hidden="false" customHeight="false" outlineLevel="0" collapsed="false">
      <c r="A9" s="4" t="s">
        <v>106</v>
      </c>
      <c r="B9" s="11" t="s">
        <v>101</v>
      </c>
      <c r="C9" s="24" t="n">
        <f aca="false">IF(Series!AC8="","n.d.",Series!AC8)</f>
        <v>1.2</v>
      </c>
      <c r="D9" s="27" t="n">
        <f aca="false">IF(Series!AG8="","n.d.",Series!AG8)</f>
        <v>0.0810810810810811</v>
      </c>
      <c r="E9" s="27" t="str">
        <f aca="false">IF(Series!AH8="","n.d.",Series!AH8)</f>
        <v>n.d.</v>
      </c>
      <c r="F9" s="27" t="str">
        <f aca="false">IF(Series!AI8="","n.d.",Series!AI8)</f>
        <v>n.d.</v>
      </c>
      <c r="G9" s="24" t="n">
        <f aca="false">IF(Series!AJ8="","n.d.",Series!AJ8)</f>
        <v>44.7</v>
      </c>
      <c r="H9" s="24" t="str">
        <f aca="false">IF(Series!AK8="","n.d.",Series!AK8)</f>
        <v>n.d.</v>
      </c>
      <c r="I9" s="24" t="str">
        <f aca="false">IF(Series!AL8="","n.d.",Series!AL8)</f>
        <v>n.d.</v>
      </c>
      <c r="J9" s="24" t="n">
        <f aca="false">IF(Series!AM8="","n.d.",Series!AM8)</f>
        <v>52.2</v>
      </c>
    </row>
    <row r="10" customFormat="false" ht="15" hidden="false" customHeight="false" outlineLevel="0" collapsed="false">
      <c r="A10" s="4" t="s">
        <v>108</v>
      </c>
      <c r="B10" s="11" t="s">
        <v>109</v>
      </c>
      <c r="C10" s="24" t="n">
        <f aca="false">IF(Series!AC9="","n.d.",Series!AC9)</f>
        <v>1.7</v>
      </c>
      <c r="D10" s="27" t="n">
        <f aca="false">IF(Series!AG9="","n.d.",Series!AG9)</f>
        <v>0.0988372093023256</v>
      </c>
      <c r="E10" s="27" t="str">
        <f aca="false">IF(Series!AH9="","n.d.",Series!AH9)</f>
        <v>n.d.</v>
      </c>
      <c r="F10" s="27" t="str">
        <f aca="false">IF(Series!AI9="","n.d.",Series!AI9)</f>
        <v>n.d.</v>
      </c>
      <c r="G10" s="24" t="n">
        <f aca="false">IF(Series!AJ9="","n.d.",Series!AJ9)</f>
        <v>62.5</v>
      </c>
      <c r="H10" s="24" t="str">
        <f aca="false">IF(Series!AK9="","n.d.",Series!AK9)</f>
        <v>n.d.</v>
      </c>
      <c r="I10" s="24" t="str">
        <f aca="false">IF(Series!AL9="","n.d.",Series!AL9)</f>
        <v>n.d.</v>
      </c>
      <c r="J10" s="24" t="n">
        <f aca="false">IF(Series!AM9="","n.d.",Series!AM9)</f>
        <v>42.2</v>
      </c>
    </row>
    <row r="11" customFormat="false" ht="15" hidden="false" customHeight="false" outlineLevel="0" collapsed="false">
      <c r="A11" s="4" t="s">
        <v>110</v>
      </c>
      <c r="B11" s="11" t="s">
        <v>109</v>
      </c>
      <c r="C11" s="24" t="n">
        <f aca="false">IF(Series!AC10="","n.d.",Series!AC10)</f>
        <v>4.3</v>
      </c>
      <c r="D11" s="27" t="n">
        <f aca="false">IF(Series!AG10="","n.d.",Series!AG10)</f>
        <v>0.281045751633987</v>
      </c>
      <c r="E11" s="27" t="n">
        <f aca="false">IF(Series!AH10="","n.d.",Series!AH10)</f>
        <v>0.326241134751773</v>
      </c>
      <c r="F11" s="27" t="n">
        <f aca="false">IF(Series!AI10="","n.d.",Series!AI10)</f>
        <v>0.084</v>
      </c>
      <c r="G11" s="24" t="n">
        <f aca="false">IF(Series!AJ10="","n.d.",Series!AJ10)</f>
        <v>32.5</v>
      </c>
      <c r="H11" s="24" t="n">
        <f aca="false">IF(Series!AK10="","n.d.",Series!AK10)</f>
        <v>31.8</v>
      </c>
      <c r="I11" s="24" t="n">
        <f aca="false">IF(Series!AL10="","n.d.",Series!AL10)</f>
        <v>35.1</v>
      </c>
      <c r="J11" s="24" t="n">
        <f aca="false">IF(Series!AM10="","n.d.",Series!AM10)</f>
        <v>47.5</v>
      </c>
    </row>
    <row r="12" customFormat="false" ht="15" hidden="false" customHeight="false" outlineLevel="0" collapsed="false">
      <c r="A12" s="4" t="s">
        <v>112</v>
      </c>
      <c r="B12" s="11" t="s">
        <v>109</v>
      </c>
      <c r="C12" s="24" t="n">
        <f aca="false">IF(Series!AC11="","n.d.",Series!AC11)</f>
        <v>5.4</v>
      </c>
      <c r="D12" s="27" t="n">
        <f aca="false">IF(Series!AG11="","n.d.",Series!AG11)</f>
        <v>0.319526627218935</v>
      </c>
      <c r="E12" s="27" t="str">
        <f aca="false">IF(Series!AH11="","n.d.",Series!AH11)</f>
        <v>n.d.</v>
      </c>
      <c r="F12" s="27" t="str">
        <f aca="false">IF(Series!AI11="","n.d.",Series!AI11)</f>
        <v>n.d.</v>
      </c>
      <c r="G12" s="24" t="n">
        <f aca="false">IF(Series!AJ11="","n.d.",Series!AJ11)</f>
        <v>36.2</v>
      </c>
      <c r="H12" s="24" t="str">
        <f aca="false">IF(Series!AK11="","n.d.",Series!AK11)</f>
        <v>n.d.</v>
      </c>
      <c r="I12" s="24" t="str">
        <f aca="false">IF(Series!AL11="","n.d.",Series!AL11)</f>
        <v>n.d.</v>
      </c>
      <c r="J12" s="24" t="n">
        <f aca="false">IF(Series!AM11="","n.d.",Series!AM11)</f>
        <v>40.5</v>
      </c>
    </row>
    <row r="13" customFormat="false" ht="15" hidden="false" customHeight="false" outlineLevel="0" collapsed="false">
      <c r="A13" s="4" t="s">
        <v>113</v>
      </c>
      <c r="B13" s="11" t="s">
        <v>109</v>
      </c>
      <c r="C13" s="24" t="n">
        <f aca="false">IF(Series!AC12="","n.d.",Series!AC12)</f>
        <v>3.1</v>
      </c>
      <c r="D13" s="27" t="n">
        <f aca="false">IF(Series!AG12="","n.d.",Series!AG12)</f>
        <v>0.256198347107438</v>
      </c>
      <c r="E13" s="27" t="str">
        <f aca="false">IF(Series!AH12="","n.d.",Series!AH12)</f>
        <v>n.d.</v>
      </c>
      <c r="F13" s="27" t="str">
        <f aca="false">IF(Series!AI12="","n.d.",Series!AI12)</f>
        <v>n.d.</v>
      </c>
      <c r="G13" s="24" t="n">
        <f aca="false">IF(Series!AJ12="","n.d.",Series!AJ12)</f>
        <v>36.4</v>
      </c>
      <c r="H13" s="24" t="str">
        <f aca="false">IF(Series!AK12="","n.d.",Series!AK12)</f>
        <v>n.d.</v>
      </c>
      <c r="I13" s="24" t="str">
        <f aca="false">IF(Series!AL12="","n.d.",Series!AL12)</f>
        <v>n.d.</v>
      </c>
      <c r="J13" s="24" t="n">
        <f aca="false">IF(Series!AM12="","n.d.",Series!AM12)</f>
        <v>42.1</v>
      </c>
    </row>
    <row r="14" customFormat="false" ht="15" hidden="false" customHeight="false" outlineLevel="0" collapsed="false">
      <c r="A14" s="4" t="s">
        <v>114</v>
      </c>
      <c r="B14" s="11" t="s">
        <v>115</v>
      </c>
      <c r="C14" s="24" t="n">
        <f aca="false">IF(Series!AC13="","n.d.",Series!AC13)</f>
        <v>2.2</v>
      </c>
      <c r="D14" s="27" t="n">
        <f aca="false">IF(Series!AG13="","n.d.",Series!AG13)</f>
        <v>0.126436781609195</v>
      </c>
      <c r="E14" s="27" t="str">
        <f aca="false">IF(Series!AH13="","n.d.",Series!AH13)</f>
        <v>n.d.</v>
      </c>
      <c r="F14" s="27" t="str">
        <f aca="false">IF(Series!AI13="","n.d.",Series!AI13)</f>
        <v>n.d.</v>
      </c>
      <c r="G14" s="24" t="n">
        <f aca="false">IF(Series!AJ13="","n.d.",Series!AJ13)</f>
        <v>15.1</v>
      </c>
      <c r="H14" s="24" t="str">
        <f aca="false">IF(Series!AK13="","n.d.",Series!AK13)</f>
        <v>n.d.</v>
      </c>
      <c r="I14" s="24" t="str">
        <f aca="false">IF(Series!AL13="","n.d.",Series!AL13)</f>
        <v>n.d.</v>
      </c>
      <c r="J14" s="24" t="n">
        <f aca="false">IF(Series!AM13="","n.d.",Series!AM13)</f>
        <v>24.2</v>
      </c>
    </row>
    <row r="15" customFormat="false" ht="15" hidden="false" customHeight="false" outlineLevel="0" collapsed="false">
      <c r="A15" s="4" t="s">
        <v>116</v>
      </c>
      <c r="B15" s="11" t="s">
        <v>115</v>
      </c>
      <c r="C15" s="24" t="n">
        <f aca="false">IF(Series!AC14="","n.d.",Series!AC14)</f>
        <v>1.6</v>
      </c>
      <c r="D15" s="27" t="n">
        <f aca="false">IF(Series!AG14="","n.d.",Series!AG14)</f>
        <v>0.0914285714285714</v>
      </c>
      <c r="E15" s="27" t="n">
        <f aca="false">IF(Series!AH14="","n.d.",Series!AH14)</f>
        <v>0.0925925925925926</v>
      </c>
      <c r="F15" s="27" t="n">
        <f aca="false">IF(Series!AI14="","n.d.",Series!AI14)</f>
        <v>0.0716981132075472</v>
      </c>
      <c r="G15" s="24" t="n">
        <f aca="false">IF(Series!AJ14="","n.d.",Series!AJ14)</f>
        <v>12.1</v>
      </c>
      <c r="H15" s="24" t="n">
        <f aca="false">IF(Series!AK14="","n.d.",Series!AK14)</f>
        <v>9.7</v>
      </c>
      <c r="I15" s="24" t="n">
        <f aca="false">IF(Series!AL14="","n.d.",Series!AL14)</f>
        <v>23.2</v>
      </c>
      <c r="J15" s="24" t="n">
        <f aca="false">IF(Series!AM14="","n.d.",Series!AM14)</f>
        <v>23.9</v>
      </c>
    </row>
    <row r="16" customFormat="false" ht="15" hidden="false" customHeight="false" outlineLevel="0" collapsed="false">
      <c r="A16" s="4" t="s">
        <v>117</v>
      </c>
      <c r="B16" s="11" t="s">
        <v>115</v>
      </c>
      <c r="C16" s="24" t="n">
        <f aca="false">IF(Series!AC15="","n.d.",Series!AC15)</f>
        <v>1.4</v>
      </c>
      <c r="D16" s="27" t="n">
        <f aca="false">IF(Series!AG15="","n.d.",Series!AG15)</f>
        <v>0.0782122905027933</v>
      </c>
      <c r="E16" s="27" t="str">
        <f aca="false">IF(Series!AH15="","n.d.",Series!AH15)</f>
        <v>n.d.</v>
      </c>
      <c r="F16" s="27" t="str">
        <f aca="false">IF(Series!AI15="","n.d.",Series!AI15)</f>
        <v>n.d.</v>
      </c>
      <c r="G16" s="24" t="n">
        <f aca="false">IF(Series!AJ15="","n.d.",Series!AJ15)</f>
        <v>23.8</v>
      </c>
      <c r="H16" s="24" t="str">
        <f aca="false">IF(Series!AK15="","n.d.",Series!AK15)</f>
        <v>n.d.</v>
      </c>
      <c r="I16" s="24" t="str">
        <f aca="false">IF(Series!AL15="","n.d.",Series!AL15)</f>
        <v>n.d.</v>
      </c>
      <c r="J16" s="24" t="n">
        <f aca="false">IF(Series!AM15="","n.d.",Series!AM15)</f>
        <v>36.4</v>
      </c>
    </row>
    <row r="17" customFormat="false" ht="15" hidden="false" customHeight="false" outlineLevel="0" collapsed="false">
      <c r="A17" s="4" t="s">
        <v>118</v>
      </c>
      <c r="B17" s="11" t="s">
        <v>115</v>
      </c>
      <c r="C17" s="24" t="n">
        <f aca="false">IF(Series!AC16="","n.d.",Series!AC16)</f>
        <v>3.5</v>
      </c>
      <c r="D17" s="27" t="n">
        <f aca="false">IF(Series!AG16="","n.d.",Series!AG16)</f>
        <v>0.202312138728324</v>
      </c>
      <c r="E17" s="27" t="str">
        <f aca="false">IF(Series!AH16="","n.d.",Series!AH16)</f>
        <v>n.d.</v>
      </c>
      <c r="F17" s="27" t="str">
        <f aca="false">IF(Series!AI16="","n.d.",Series!AI16)</f>
        <v>n.d.</v>
      </c>
      <c r="G17" s="24" t="n">
        <f aca="false">IF(Series!AJ16="","n.d.",Series!AJ16)</f>
        <v>23.7</v>
      </c>
      <c r="H17" s="24" t="str">
        <f aca="false">IF(Series!AK16="","n.d.",Series!AK16)</f>
        <v>n.d.</v>
      </c>
      <c r="I17" s="24" t="str">
        <f aca="false">IF(Series!AL16="","n.d.",Series!AL16)</f>
        <v>n.d.</v>
      </c>
      <c r="J17" s="24" t="n">
        <f aca="false">IF(Series!AM16="","n.d.",Series!AM16)</f>
        <v>35.2</v>
      </c>
    </row>
    <row r="18" customFormat="false" ht="15" hidden="false" customHeight="false" outlineLevel="0" collapsed="false">
      <c r="A18" s="4" t="s">
        <v>119</v>
      </c>
      <c r="B18" s="11" t="s">
        <v>120</v>
      </c>
      <c r="C18" s="24" t="n">
        <f aca="false">IF(Series!AC17="","n.d.",Series!AC17)</f>
        <v>2</v>
      </c>
      <c r="D18" s="27" t="n">
        <f aca="false">IF(Series!AG17="","n.d.",Series!AG17)</f>
        <v>0.111731843575419</v>
      </c>
      <c r="E18" s="27" t="str">
        <f aca="false">IF(Series!AH17="","n.d.",Series!AH17)</f>
        <v>n.d.</v>
      </c>
      <c r="F18" s="27" t="str">
        <f aca="false">IF(Series!AI17="","n.d.",Series!AI17)</f>
        <v>n.d.</v>
      </c>
      <c r="G18" s="24" t="n">
        <f aca="false">IF(Series!AJ17="","n.d.",Series!AJ17)</f>
        <v>28.9</v>
      </c>
      <c r="H18" s="24" t="str">
        <f aca="false">IF(Series!AK17="","n.d.",Series!AK17)</f>
        <v>n.d.</v>
      </c>
      <c r="I18" s="24" t="str">
        <f aca="false">IF(Series!AL17="","n.d.",Series!AL17)</f>
        <v>n.d.</v>
      </c>
      <c r="J18" s="24" t="n">
        <f aca="false">IF(Series!AM17="","n.d.",Series!AM17)</f>
        <v>32.8</v>
      </c>
    </row>
    <row r="19" customFormat="false" ht="15" hidden="false" customHeight="false" outlineLevel="0" collapsed="false">
      <c r="A19" s="4" t="s">
        <v>121</v>
      </c>
      <c r="B19" s="11" t="s">
        <v>120</v>
      </c>
      <c r="C19" s="24" t="n">
        <f aca="false">IF(Series!AC18="","n.d.",Series!AC18)</f>
        <v>0.6</v>
      </c>
      <c r="D19" s="27" t="n">
        <f aca="false">IF(Series!AG18="","n.d.",Series!AG18)</f>
        <v>0.038961038961039</v>
      </c>
      <c r="E19" s="27" t="n">
        <f aca="false">IF(Series!AH18="","n.d.",Series!AH18)</f>
        <v>0.0410958904109589</v>
      </c>
      <c r="F19" s="27" t="n">
        <f aca="false">IF(Series!AI18="","n.d.",Series!AI18)</f>
        <v>0.0136986301369863</v>
      </c>
      <c r="G19" s="24" t="n">
        <f aca="false">IF(Series!AJ18="","n.d.",Series!AJ18)</f>
        <v>27.6</v>
      </c>
      <c r="H19" s="24" t="n">
        <f aca="false">IF(Series!AK18="","n.d.",Series!AK18)</f>
        <v>28</v>
      </c>
      <c r="I19" s="24" t="n">
        <f aca="false">IF(Series!AL18="","n.d.",Series!AL18)</f>
        <v>25.6</v>
      </c>
      <c r="J19" s="24" t="n">
        <f aca="false">IF(Series!AM18="","n.d.",Series!AM18)</f>
        <v>37.3</v>
      </c>
    </row>
    <row r="20" customFormat="false" ht="15" hidden="false" customHeight="false" outlineLevel="0" collapsed="false">
      <c r="A20" s="4" t="s">
        <v>123</v>
      </c>
      <c r="B20" s="11" t="s">
        <v>120</v>
      </c>
      <c r="C20" s="24" t="n">
        <f aca="false">IF(Series!AC19="","n.d.",Series!AC19)</f>
        <v>1.3</v>
      </c>
      <c r="D20" s="27" t="n">
        <f aca="false">IF(Series!AG19="","n.d.",Series!AG19)</f>
        <v>0.0787878787878788</v>
      </c>
      <c r="E20" s="27" t="str">
        <f aca="false">IF(Series!AH19="","n.d.",Series!AH19)</f>
        <v>n.d.</v>
      </c>
      <c r="F20" s="27" t="str">
        <f aca="false">IF(Series!AI19="","n.d.",Series!AI19)</f>
        <v>n.d.</v>
      </c>
      <c r="G20" s="24" t="n">
        <f aca="false">IF(Series!AJ19="","n.d.",Series!AJ19)</f>
        <v>38.9</v>
      </c>
      <c r="H20" s="24" t="str">
        <f aca="false">IF(Series!AK19="","n.d.",Series!AK19)</f>
        <v>n.d.</v>
      </c>
      <c r="I20" s="24" t="str">
        <f aca="false">IF(Series!AL19="","n.d.",Series!AL19)</f>
        <v>n.d.</v>
      </c>
      <c r="J20" s="24" t="n">
        <f aca="false">IF(Series!AM19="","n.d.",Series!AM19)</f>
        <v>42</v>
      </c>
    </row>
    <row r="21" customFormat="false" ht="15" hidden="false" customHeight="false" outlineLevel="0" collapsed="false">
      <c r="A21" s="4" t="s">
        <v>124</v>
      </c>
      <c r="B21" s="11" t="s">
        <v>120</v>
      </c>
      <c r="C21" s="24" t="n">
        <f aca="false">IF(Series!AC20="","n.d.",Series!AC20)</f>
        <v>1</v>
      </c>
      <c r="D21" s="27" t="n">
        <f aca="false">IF(Series!AG20="","n.d.",Series!AG20)</f>
        <v>0.0602409638554217</v>
      </c>
      <c r="E21" s="27" t="str">
        <f aca="false">IF(Series!AH20="","n.d.",Series!AH20)</f>
        <v>n.d.</v>
      </c>
      <c r="F21" s="27" t="str">
        <f aca="false">IF(Series!AI20="","n.d.",Series!AI20)</f>
        <v>n.d.</v>
      </c>
      <c r="G21" s="24" t="n">
        <f aca="false">IF(Series!AJ20="","n.d.",Series!AJ20)</f>
        <v>28.7</v>
      </c>
      <c r="H21" s="24" t="str">
        <f aca="false">IF(Series!AK20="","n.d.",Series!AK20)</f>
        <v>n.d.</v>
      </c>
      <c r="I21" s="24" t="str">
        <f aca="false">IF(Series!AL20="","n.d.",Series!AL20)</f>
        <v>n.d.</v>
      </c>
      <c r="J21" s="24" t="n">
        <f aca="false">IF(Series!AM20="","n.d.",Series!AM20)</f>
        <v>28.2</v>
      </c>
    </row>
    <row r="22" customFormat="false" ht="15" hidden="false" customHeight="false" outlineLevel="0" collapsed="false">
      <c r="A22" s="4" t="s">
        <v>125</v>
      </c>
      <c r="B22" s="11" t="s">
        <v>126</v>
      </c>
      <c r="C22" s="24" t="n">
        <f aca="false">IF(Series!AC21="","n.d.",Series!AC21)</f>
        <v>1.6</v>
      </c>
      <c r="D22" s="27" t="n">
        <f aca="false">IF(Series!AG21="","n.d.",Series!AG21)</f>
        <v>0.087431693989071</v>
      </c>
      <c r="E22" s="27" t="str">
        <f aca="false">IF(Series!AH21="","n.d.",Series!AH21)</f>
        <v>n.d.</v>
      </c>
      <c r="F22" s="27" t="str">
        <f aca="false">IF(Series!AI21="","n.d.",Series!AI21)</f>
        <v>n.d.</v>
      </c>
      <c r="G22" s="24" t="n">
        <f aca="false">IF(Series!AJ21="","n.d.",Series!AJ21)</f>
        <v>26.8</v>
      </c>
      <c r="H22" s="24" t="str">
        <f aca="false">IF(Series!AK21="","n.d.",Series!AK21)</f>
        <v>n.d.</v>
      </c>
      <c r="I22" s="24" t="str">
        <f aca="false">IF(Series!AL21="","n.d.",Series!AL21)</f>
        <v>n.d.</v>
      </c>
      <c r="J22" s="24" t="n">
        <f aca="false">IF(Series!AM21="","n.d.",Series!AM21)</f>
        <v>25.8</v>
      </c>
    </row>
    <row r="23" customFormat="false" ht="15" hidden="false" customHeight="false" outlineLevel="0" collapsed="false">
      <c r="A23" s="4" t="s">
        <v>129</v>
      </c>
      <c r="B23" s="11" t="s">
        <v>126</v>
      </c>
      <c r="C23" s="24" t="n">
        <f aca="false">IF(Series!AC22="","n.d.",Series!AC22)</f>
        <v>0.5</v>
      </c>
      <c r="D23" s="27" t="n">
        <f aca="false">IF(Series!AG22="","n.d.",Series!AG22)</f>
        <v>0.0384615384615385</v>
      </c>
      <c r="E23" s="27" t="n">
        <f aca="false">IF(Series!AH22="","n.d.",Series!AH22)</f>
        <v>0.0427350427350427</v>
      </c>
      <c r="F23" s="27" t="n">
        <f aca="false">IF(Series!AI22="","n.d.",Series!AI22)</f>
        <v>0.0305676855895197</v>
      </c>
      <c r="G23" s="24" t="n">
        <f aca="false">IF(Series!AJ22="","n.d.",Series!AJ22)</f>
        <v>28</v>
      </c>
      <c r="H23" s="24" t="n">
        <f aca="false">IF(Series!AK22="","n.d.",Series!AK22)</f>
        <v>24.4</v>
      </c>
      <c r="I23" s="24" t="n">
        <f aca="false">IF(Series!AL22="","n.d.",Series!AL22)</f>
        <v>42.2</v>
      </c>
      <c r="J23" s="24" t="n">
        <f aca="false">IF(Series!AM22="","n.d.",Series!AM22)</f>
        <v>34.7</v>
      </c>
    </row>
    <row r="24" customFormat="false" ht="15" hidden="false" customHeight="false" outlineLevel="0" collapsed="false">
      <c r="A24" s="4" t="s">
        <v>130</v>
      </c>
      <c r="B24" s="11" t="s">
        <v>126</v>
      </c>
      <c r="C24" s="24" t="n">
        <f aca="false">IF(Series!AC23="","n.d.",Series!AC23)</f>
        <v>0.9</v>
      </c>
      <c r="D24" s="27" t="n">
        <f aca="false">IF(Series!AG23="","n.d.",Series!AG23)</f>
        <v>0.0559006211180124</v>
      </c>
      <c r="E24" s="27" t="str">
        <f aca="false">IF(Series!AH23="","n.d.",Series!AH23)</f>
        <v>n.d.</v>
      </c>
      <c r="F24" s="27" t="str">
        <f aca="false">IF(Series!AI23="","n.d.",Series!AI23)</f>
        <v>n.d.</v>
      </c>
      <c r="G24" s="24" t="n">
        <f aca="false">IF(Series!AJ23="","n.d.",Series!AJ23)</f>
        <v>41.1</v>
      </c>
      <c r="H24" s="24" t="str">
        <f aca="false">IF(Series!AK23="","n.d.",Series!AK23)</f>
        <v>n.d.</v>
      </c>
      <c r="I24" s="24" t="str">
        <f aca="false">IF(Series!AL23="","n.d.",Series!AL23)</f>
        <v>n.d.</v>
      </c>
      <c r="J24" s="24" t="n">
        <f aca="false">IF(Series!AM23="","n.d.",Series!AM23)</f>
        <v>40.5</v>
      </c>
    </row>
    <row r="25" customFormat="false" ht="15" hidden="false" customHeight="false" outlineLevel="0" collapsed="false">
      <c r="A25" s="4" t="s">
        <v>131</v>
      </c>
      <c r="B25" s="11" t="s">
        <v>126</v>
      </c>
      <c r="C25" s="24" t="n">
        <f aca="false">IF(Series!AC24="","n.d.",Series!AC24)</f>
        <v>1.3</v>
      </c>
      <c r="D25" s="27" t="n">
        <f aca="false">IF(Series!AG24="","n.d.",Series!AG24)</f>
        <v>0.0970149253731343</v>
      </c>
      <c r="E25" s="27" t="str">
        <f aca="false">IF(Series!AH24="","n.d.",Series!AH24)</f>
        <v>n.d.</v>
      </c>
      <c r="F25" s="27" t="str">
        <f aca="false">IF(Series!AI24="","n.d.",Series!AI24)</f>
        <v>n.d.</v>
      </c>
      <c r="G25" s="24" t="n">
        <f aca="false">IF(Series!AJ24="","n.d.",Series!AJ24)</f>
        <v>33.7</v>
      </c>
      <c r="H25" s="24" t="str">
        <f aca="false">IF(Series!AK24="","n.d.",Series!AK24)</f>
        <v>n.d.</v>
      </c>
      <c r="I25" s="24" t="str">
        <f aca="false">IF(Series!AL24="","n.d.",Series!AL24)</f>
        <v>n.d.</v>
      </c>
      <c r="J25" s="24" t="n">
        <f aca="false">IF(Series!AM24="","n.d.",Series!AM24)</f>
        <v>34.3</v>
      </c>
    </row>
    <row r="26" customFormat="false" ht="15" hidden="false" customHeight="false" outlineLevel="0" collapsed="false">
      <c r="A26" s="4" t="s">
        <v>132</v>
      </c>
      <c r="B26" s="11" t="s">
        <v>133</v>
      </c>
      <c r="C26" s="24" t="n">
        <f aca="false">IF(Series!AC25="","n.d.",Series!AC25)</f>
        <v>1</v>
      </c>
      <c r="D26" s="27" t="n">
        <f aca="false">IF(Series!AG25="","n.d.",Series!AG25)</f>
        <v>0.0699300699300699</v>
      </c>
      <c r="E26" s="27" t="str">
        <f aca="false">IF(Series!AH25="","n.d.",Series!AH25)</f>
        <v>n.d.</v>
      </c>
      <c r="F26" s="27" t="str">
        <f aca="false">IF(Series!AI25="","n.d.",Series!AI25)</f>
        <v>n.d.</v>
      </c>
      <c r="G26" s="24" t="n">
        <f aca="false">IF(Series!AJ25="","n.d.",Series!AJ25)</f>
        <v>39.3</v>
      </c>
      <c r="H26" s="24" t="str">
        <f aca="false">IF(Series!AK25="","n.d.",Series!AK25)</f>
        <v>n.d.</v>
      </c>
      <c r="I26" s="24" t="str">
        <f aca="false">IF(Series!AL25="","n.d.",Series!AL25)</f>
        <v>n.d.</v>
      </c>
      <c r="J26" s="24" t="n">
        <f aca="false">IF(Series!AM25="","n.d.",Series!AM25)</f>
        <v>38.2</v>
      </c>
    </row>
    <row r="27" customFormat="false" ht="15" hidden="false" customHeight="false" outlineLevel="0" collapsed="false">
      <c r="A27" s="4" t="s">
        <v>134</v>
      </c>
      <c r="B27" s="11" t="s">
        <v>133</v>
      </c>
      <c r="C27" s="24" t="n">
        <f aca="false">IF(Series!AC26="","n.d.",Series!AC26)</f>
        <v>0.8</v>
      </c>
      <c r="D27" s="27" t="n">
        <f aca="false">IF(Series!AG26="","n.d.",Series!AG26)</f>
        <v>0.0509554140127389</v>
      </c>
      <c r="E27" s="27" t="n">
        <f aca="false">IF(Series!AH26="","n.d.",Series!AH26)</f>
        <v>0.0472972972972973</v>
      </c>
      <c r="F27" s="27" t="n">
        <f aca="false">IF(Series!AI26="","n.d.",Series!AI26)</f>
        <v>0.0735930735930736</v>
      </c>
      <c r="G27" s="24" t="n">
        <f aca="false">IF(Series!AJ26="","n.d.",Series!AJ26)</f>
        <v>46.7</v>
      </c>
      <c r="H27" s="24" t="n">
        <f aca="false">IF(Series!AK26="","n.d.",Series!AK26)</f>
        <v>44.3</v>
      </c>
      <c r="I27" s="24" t="n">
        <f aca="false">IF(Series!AL26="","n.d.",Series!AL26)</f>
        <v>58.8</v>
      </c>
      <c r="J27" s="24" t="n">
        <f aca="false">IF(Series!AM26="","n.d.",Series!AM26)</f>
        <v>39.2</v>
      </c>
    </row>
    <row r="28" customFormat="false" ht="15" hidden="false" customHeight="false" outlineLevel="0" collapsed="false">
      <c r="A28" s="4" t="s">
        <v>135</v>
      </c>
      <c r="B28" s="11" t="s">
        <v>133</v>
      </c>
      <c r="C28" s="24" t="n">
        <f aca="false">IF(Series!AC27="","n.d.",Series!AC27)</f>
        <v>1.3</v>
      </c>
      <c r="D28" s="27" t="n">
        <f aca="false">IF(Series!AG27="","n.d.",Series!AG27)</f>
        <v>0.1015625</v>
      </c>
      <c r="E28" s="27" t="str">
        <f aca="false">IF(Series!AH27="","n.d.",Series!AH27)</f>
        <v>n.d.</v>
      </c>
      <c r="F28" s="27" t="str">
        <f aca="false">IF(Series!AI27="","n.d.",Series!AI27)</f>
        <v>n.d.</v>
      </c>
      <c r="G28" s="24" t="n">
        <f aca="false">IF(Series!AJ27="","n.d.",Series!AJ27)</f>
        <v>49</v>
      </c>
      <c r="H28" s="24" t="str">
        <f aca="false">IF(Series!AK27="","n.d.",Series!AK27)</f>
        <v>n.d.</v>
      </c>
      <c r="I28" s="24" t="str">
        <f aca="false">IF(Series!AL27="","n.d.",Series!AL27)</f>
        <v>n.d.</v>
      </c>
      <c r="J28" s="24" t="n">
        <f aca="false">IF(Series!AM27="","n.d.",Series!AM27)</f>
        <v>41.8</v>
      </c>
    </row>
    <row r="29" customFormat="false" ht="15" hidden="false" customHeight="false" outlineLevel="0" collapsed="false">
      <c r="A29" s="4" t="s">
        <v>136</v>
      </c>
      <c r="B29" s="11" t="s">
        <v>133</v>
      </c>
      <c r="C29" s="24" t="n">
        <f aca="false">IF(Series!AC28="","n.d.",Series!AC28)</f>
        <v>0.5</v>
      </c>
      <c r="D29" s="27" t="n">
        <f aca="false">IF(Series!AG28="","n.d.",Series!AG28)</f>
        <v>0.0316455696202532</v>
      </c>
      <c r="E29" s="27" t="str">
        <f aca="false">IF(Series!AH28="","n.d.",Series!AH28)</f>
        <v>n.d.</v>
      </c>
      <c r="F29" s="27" t="str">
        <f aca="false">IF(Series!AI28="","n.d.",Series!AI28)</f>
        <v>n.d.</v>
      </c>
      <c r="G29" s="24" t="n">
        <f aca="false">IF(Series!AJ28="","n.d.",Series!AJ28)</f>
        <v>47.6</v>
      </c>
      <c r="H29" s="24" t="str">
        <f aca="false">IF(Series!AK28="","n.d.",Series!AK28)</f>
        <v>n.d.</v>
      </c>
      <c r="I29" s="24" t="str">
        <f aca="false">IF(Series!AL28="","n.d.",Series!AL28)</f>
        <v>n.d.</v>
      </c>
      <c r="J29" s="24" t="n">
        <f aca="false">IF(Series!AM28="","n.d.",Series!AM28)</f>
        <v>40.9</v>
      </c>
    </row>
    <row r="30" customFormat="false" ht="15" hidden="false" customHeight="false" outlineLevel="0" collapsed="false">
      <c r="A30" s="4" t="s">
        <v>137</v>
      </c>
      <c r="B30" s="11" t="s">
        <v>138</v>
      </c>
      <c r="C30" s="24" t="n">
        <f aca="false">IF(Series!AC29="","n.d.",Series!AC29)</f>
        <v>3.8</v>
      </c>
      <c r="D30" s="27" t="n">
        <f aca="false">IF(Series!AG29="","n.d.",Series!AG29)</f>
        <v>0.224852071005917</v>
      </c>
      <c r="E30" s="27" t="str">
        <f aca="false">IF(Series!AH29="","n.d.",Series!AH29)</f>
        <v>n.d.</v>
      </c>
      <c r="F30" s="27" t="str">
        <f aca="false">IF(Series!AI29="","n.d.",Series!AI29)</f>
        <v>n.d.</v>
      </c>
      <c r="G30" s="24" t="n">
        <f aca="false">IF(Series!AJ29="","n.d.",Series!AJ29)</f>
        <v>44.9</v>
      </c>
      <c r="H30" s="24" t="str">
        <f aca="false">IF(Series!AK29="","n.d.",Series!AK29)</f>
        <v>n.d.</v>
      </c>
      <c r="I30" s="24" t="str">
        <f aca="false">IF(Series!AL29="","n.d.",Series!AL29)</f>
        <v>n.d.</v>
      </c>
      <c r="J30" s="24" t="n">
        <f aca="false">IF(Series!AM29="","n.d.",Series!AM29)</f>
        <v>32.7</v>
      </c>
    </row>
    <row r="31" customFormat="false" ht="15" hidden="false" customHeight="false" outlineLevel="0" collapsed="false">
      <c r="A31" s="4" t="s">
        <v>140</v>
      </c>
      <c r="B31" s="11" t="s">
        <v>138</v>
      </c>
      <c r="C31" s="24" t="n">
        <f aca="false">IF(Series!AC30="","n.d.",Series!AC30)</f>
        <v>3.6</v>
      </c>
      <c r="D31" s="27" t="n">
        <f aca="false">IF(Series!AG30="","n.d.",Series!AG30)</f>
        <v>0.243243243243243</v>
      </c>
      <c r="E31" s="27" t="n">
        <f aca="false">IF(Series!AH30="","n.d.",Series!AH30)</f>
        <v>0.282608695652174</v>
      </c>
      <c r="F31" s="27" t="n">
        <f aca="false">IF(Series!AI30="","n.d.",Series!AI30)</f>
        <v>0.031390134529148</v>
      </c>
      <c r="G31" s="24" t="n">
        <f aca="false">IF(Series!AJ30="","n.d.",Series!AJ30)</f>
        <v>39.4</v>
      </c>
      <c r="H31" s="24" t="n">
        <f aca="false">IF(Series!AK30="","n.d.",Series!AK30)</f>
        <v>35.3</v>
      </c>
      <c r="I31" s="24" t="n">
        <f aca="false">IF(Series!AL30="","n.d.",Series!AL30)</f>
        <v>53.7</v>
      </c>
      <c r="J31" s="24" t="n">
        <f aca="false">IF(Series!AM30="","n.d.",Series!AM30)</f>
        <v>34.9</v>
      </c>
    </row>
    <row r="32" customFormat="false" ht="15" hidden="false" customHeight="false" outlineLevel="0" collapsed="false">
      <c r="A32" s="4" t="s">
        <v>142</v>
      </c>
      <c r="B32" s="11" t="s">
        <v>138</v>
      </c>
      <c r="C32" s="24" t="str">
        <f aca="false">IF(Series!AC31="","n.d.",Series!AC31)</f>
        <v>n.d.</v>
      </c>
      <c r="D32" s="27" t="str">
        <f aca="false">IF(Series!AG31="","n.d.",Series!AG31)</f>
        <v>n.d.</v>
      </c>
      <c r="E32" s="27" t="str">
        <f aca="false">IF(Series!AH31="","n.d.",Series!AH31)</f>
        <v>n.d.</v>
      </c>
      <c r="F32" s="27" t="str">
        <f aca="false">IF(Series!AI31="","n.d.",Series!AI31)</f>
        <v>n.d.</v>
      </c>
      <c r="G32" s="24" t="str">
        <f aca="false">IF(Series!AJ31="","n.d.",Series!AJ31)</f>
        <v>n.d.</v>
      </c>
      <c r="H32" s="24" t="str">
        <f aca="false">IF(Series!AK31="","n.d.",Series!AK31)</f>
        <v>n.d.</v>
      </c>
      <c r="I32" s="24" t="str">
        <f aca="false">IF(Series!AL31="","n.d.",Series!AL31)</f>
        <v>n.d.</v>
      </c>
      <c r="J32" s="24" t="str">
        <f aca="false">IF(Series!AM31="","n.d.",Series!AM31)</f>
        <v>n.d.</v>
      </c>
    </row>
    <row r="33" customFormat="false" ht="15" hidden="false" customHeight="false" outlineLevel="0" collapsed="false">
      <c r="A33" s="20" t="s">
        <v>233</v>
      </c>
    </row>
    <row r="35" customFormat="false" ht="15" hidden="false" customHeight="false" outlineLevel="0" collapsed="false">
      <c r="A35" s="3" t="s">
        <v>234</v>
      </c>
    </row>
    <row r="36" customFormat="false" ht="63.75" hidden="false" customHeight="true" outlineLevel="0" collapsed="false">
      <c r="A36" s="10" t="s">
        <v>52</v>
      </c>
      <c r="B36" s="10" t="s">
        <v>180</v>
      </c>
      <c r="C36" s="10" t="s">
        <v>235</v>
      </c>
      <c r="D36" s="10" t="s">
        <v>236</v>
      </c>
      <c r="E36" s="10" t="s">
        <v>225</v>
      </c>
      <c r="F36" s="10" t="s">
        <v>237</v>
      </c>
    </row>
    <row r="37" customFormat="false" ht="15" hidden="false" customHeight="false" outlineLevel="0" collapsed="false">
      <c r="A37" s="4" t="s">
        <v>101</v>
      </c>
      <c r="B37" s="18" t="n">
        <f aca="false">IFERROR(ROUND(AVERAGEIFS($D$6:$D$32,$B$6:$B$32,$A37),5),"n.d.")</f>
        <v>0.17709</v>
      </c>
      <c r="C37" s="16" t="n">
        <f aca="false">IFERROR(ROUND(AVERAGEIFS($G$6:$G$32,$B$6:$B$32,$A37),3),"n.d.")</f>
        <v>42.625</v>
      </c>
      <c r="D37" s="16" t="n">
        <f aca="false">IFERROR(ROUND(AVERAGEIFS($J$6:$J$32,$B$6:$B$32,$A37),3),"n.d.")</f>
        <v>45.05</v>
      </c>
      <c r="E37" s="16" t="n">
        <f aca="false">IFERROR(ROUND(AVERAGEIFS($C$6:$C$32,$B$6:$B$32,$A37),3),"n.d.")</f>
        <v>2.775</v>
      </c>
      <c r="F37" s="20"/>
    </row>
    <row r="38" customFormat="false" ht="15" hidden="false" customHeight="false" outlineLevel="0" collapsed="false">
      <c r="A38" s="4" t="s">
        <v>109</v>
      </c>
      <c r="B38" s="18" t="n">
        <f aca="false">IFERROR(ROUND(AVERAGEIFS($D$6:$D$32,$B$6:$B$32,$A38),5),"n.d.")</f>
        <v>0.2389</v>
      </c>
      <c r="C38" s="16" t="n">
        <f aca="false">IFERROR(ROUND(AVERAGEIFS($G$6:$G$32,$B$6:$B$32,$A38),3),"n.d.")</f>
        <v>41.9</v>
      </c>
      <c r="D38" s="16" t="n">
        <f aca="false">IFERROR(ROUND(AVERAGEIFS($J$6:$J$32,$B$6:$B$32,$A38),3),"n.d.")</f>
        <v>43.075</v>
      </c>
      <c r="E38" s="16" t="n">
        <f aca="false">IFERROR(ROUND(AVERAGEIFS($C$6:$C$32,$B$6:$B$32,$A38),3),"n.d.")</f>
        <v>3.625</v>
      </c>
      <c r="F38" s="20"/>
    </row>
    <row r="39" customFormat="false" ht="15" hidden="false" customHeight="false" outlineLevel="0" collapsed="false">
      <c r="A39" s="4" t="s">
        <v>115</v>
      </c>
      <c r="B39" s="18" t="n">
        <f aca="false">IFERROR(ROUND(AVERAGEIFS($D$6:$D$32,$B$6:$B$32,$A39),5),"n.d.")</f>
        <v>0.1246</v>
      </c>
      <c r="C39" s="16" t="n">
        <f aca="false">IFERROR(ROUND(AVERAGEIFS($G$6:$G$32,$B$6:$B$32,$A39),3),"n.d.")</f>
        <v>18.675</v>
      </c>
      <c r="D39" s="16" t="n">
        <f aca="false">IFERROR(ROUND(AVERAGEIFS($J$6:$J$32,$B$6:$B$32,$A39),3),"n.d.")</f>
        <v>29.925</v>
      </c>
      <c r="E39" s="16" t="n">
        <f aca="false">IFERROR(ROUND(AVERAGEIFS($C$6:$C$32,$B$6:$B$32,$A39),3),"n.d.")</f>
        <v>2.175</v>
      </c>
      <c r="F39" s="20"/>
    </row>
    <row r="40" customFormat="false" ht="15" hidden="false" customHeight="false" outlineLevel="0" collapsed="false">
      <c r="A40" s="4" t="s">
        <v>120</v>
      </c>
      <c r="B40" s="18" t="n">
        <f aca="false">IFERROR(ROUND(AVERAGEIFS($D$6:$D$32,$B$6:$B$32,$A40),5),"n.d.")</f>
        <v>0.07243</v>
      </c>
      <c r="C40" s="16" t="n">
        <f aca="false">IFERROR(ROUND(AVERAGEIFS($G$6:$G$32,$B$6:$B$32,$A40),3),"n.d.")</f>
        <v>31.025</v>
      </c>
      <c r="D40" s="16" t="n">
        <f aca="false">IFERROR(ROUND(AVERAGEIFS($J$6:$J$32,$B$6:$B$32,$A40),3),"n.d.")</f>
        <v>35.075</v>
      </c>
      <c r="E40" s="16" t="n">
        <f aca="false">IFERROR(ROUND(AVERAGEIFS($C$6:$C$32,$B$6:$B$32,$A40),3),"n.d.")</f>
        <v>1.225</v>
      </c>
      <c r="F40" s="20"/>
    </row>
    <row r="41" customFormat="false" ht="15" hidden="false" customHeight="false" outlineLevel="0" collapsed="false">
      <c r="A41" s="4" t="s">
        <v>126</v>
      </c>
      <c r="B41" s="18" t="n">
        <f aca="false">IFERROR(ROUND(AVERAGEIFS($D$6:$D$32,$B$6:$B$32,$A41),5),"n.d.")</f>
        <v>0.0697</v>
      </c>
      <c r="C41" s="16" t="n">
        <f aca="false">IFERROR(ROUND(AVERAGEIFS($G$6:$G$32,$B$6:$B$32,$A41),3),"n.d.")</f>
        <v>32.4</v>
      </c>
      <c r="D41" s="16" t="n">
        <f aca="false">IFERROR(ROUND(AVERAGEIFS($J$6:$J$32,$B$6:$B$32,$A41),3),"n.d.")</f>
        <v>33.825</v>
      </c>
      <c r="E41" s="16" t="n">
        <f aca="false">IFERROR(ROUND(AVERAGEIFS($C$6:$C$32,$B$6:$B$32,$A41),3),"n.d.")</f>
        <v>1.075</v>
      </c>
      <c r="F41" s="20"/>
    </row>
    <row r="42" customFormat="false" ht="15" hidden="false" customHeight="false" outlineLevel="0" collapsed="false">
      <c r="A42" s="4" t="s">
        <v>133</v>
      </c>
      <c r="B42" s="18" t="n">
        <f aca="false">IFERROR(ROUND(AVERAGEIFS($D$6:$D$32,$B$6:$B$32,$A42),5),"n.d.")</f>
        <v>0.06352</v>
      </c>
      <c r="C42" s="16" t="n">
        <f aca="false">IFERROR(ROUND(AVERAGEIFS($G$6:$G$32,$B$6:$B$32,$A42),3),"n.d.")</f>
        <v>45.65</v>
      </c>
      <c r="D42" s="16" t="n">
        <f aca="false">IFERROR(ROUND(AVERAGEIFS($J$6:$J$32,$B$6:$B$32,$A42),3),"n.d.")</f>
        <v>40.025</v>
      </c>
      <c r="E42" s="16" t="n">
        <f aca="false">IFERROR(ROUND(AVERAGEIFS($C$6:$C$32,$B$6:$B$32,$A42),3),"n.d.")</f>
        <v>0.9</v>
      </c>
      <c r="F42" s="20"/>
    </row>
    <row r="43" customFormat="false" ht="15" hidden="false" customHeight="false" outlineLevel="0" collapsed="false">
      <c r="A43" s="4" t="s">
        <v>138</v>
      </c>
      <c r="B43" s="18" t="n">
        <f aca="false">IFERROR(ROUND(AVERAGEIFS($D$6:$D$32,$B$6:$B$32,$A43),5),"n.d.")</f>
        <v>0.23405</v>
      </c>
      <c r="C43" s="16" t="n">
        <f aca="false">IFERROR(ROUND(AVERAGEIFS($G$6:$G$32,$B$6:$B$32,$A43),3),"n.d.")</f>
        <v>42.15</v>
      </c>
      <c r="D43" s="16" t="n">
        <f aca="false">IFERROR(ROUND(AVERAGEIFS($J$6:$J$32,$B$6:$B$32,$A43),3),"n.d.")</f>
        <v>33.8</v>
      </c>
      <c r="E43" s="16" t="n">
        <f aca="false">IFERROR(ROUND(AVERAGEIFS($C$6:$C$32,$B$6:$B$32,$A43),3),"n.d.")</f>
        <v>3.7</v>
      </c>
      <c r="F43" s="20" t="s">
        <v>238</v>
      </c>
    </row>
    <row r="46" customFormat="false" ht="15" hidden="false" customHeight="false" outlineLevel="0" collapsed="false">
      <c r="A46" s="3" t="s">
        <v>239</v>
      </c>
    </row>
    <row r="47" customFormat="false" ht="63.75" hidden="false" customHeight="true" outlineLevel="0" collapsed="false">
      <c r="A47" s="10" t="s">
        <v>51</v>
      </c>
      <c r="B47" s="10" t="s">
        <v>240</v>
      </c>
      <c r="C47" s="10" t="s">
        <v>241</v>
      </c>
      <c r="D47" s="10" t="s">
        <v>242</v>
      </c>
      <c r="E47" s="10" t="s">
        <v>243</v>
      </c>
      <c r="F47" s="10" t="s">
        <v>244</v>
      </c>
      <c r="G47" s="10" t="s">
        <v>245</v>
      </c>
    </row>
    <row r="48" customFormat="false" ht="15" hidden="false" customHeight="false" outlineLevel="0" collapsed="false">
      <c r="A48" s="4" t="s">
        <v>104</v>
      </c>
      <c r="B48" s="27" t="n">
        <f aca="false">Series!AH6</f>
        <v>0.333333333333333</v>
      </c>
      <c r="C48" s="27" t="n">
        <f aca="false">Series!AI6</f>
        <v>0.0285714285714286</v>
      </c>
      <c r="D48" s="16" t="n">
        <f aca="false">ROUND((B48-C48)*100,1)</f>
        <v>30.5</v>
      </c>
      <c r="E48" s="24" t="n">
        <f aca="false">Series!AK6</f>
        <v>36</v>
      </c>
      <c r="F48" s="24" t="n">
        <f aca="false">Series!AL6</f>
        <v>38.6</v>
      </c>
      <c r="G48" s="16" t="n">
        <f aca="false">ROUND(E48-F48,1)</f>
        <v>-2.6</v>
      </c>
    </row>
    <row r="49" customFormat="false" ht="15" hidden="false" customHeight="false" outlineLevel="0" collapsed="false">
      <c r="A49" s="4" t="s">
        <v>110</v>
      </c>
      <c r="B49" s="27" t="n">
        <f aca="false">Series!AH10</f>
        <v>0.326241134751773</v>
      </c>
      <c r="C49" s="27" t="n">
        <f aca="false">Series!AI10</f>
        <v>0.084</v>
      </c>
      <c r="D49" s="16" t="n">
        <f aca="false">ROUND((B49-C49)*100,1)</f>
        <v>24.2</v>
      </c>
      <c r="E49" s="24" t="n">
        <f aca="false">Series!AK10</f>
        <v>31.8</v>
      </c>
      <c r="F49" s="24" t="n">
        <f aca="false">Series!AL10</f>
        <v>35.1</v>
      </c>
      <c r="G49" s="16" t="n">
        <f aca="false">ROUND(E49-F49,1)</f>
        <v>-3.3</v>
      </c>
    </row>
    <row r="50" customFormat="false" ht="15" hidden="false" customHeight="false" outlineLevel="0" collapsed="false">
      <c r="A50" s="4" t="s">
        <v>116</v>
      </c>
      <c r="B50" s="27" t="n">
        <f aca="false">Series!AH14</f>
        <v>0.0925925925925926</v>
      </c>
      <c r="C50" s="27" t="n">
        <f aca="false">Series!AI14</f>
        <v>0.0716981132075472</v>
      </c>
      <c r="D50" s="16" t="n">
        <f aca="false">ROUND((B50-C50)*100,1)</f>
        <v>2.1</v>
      </c>
      <c r="E50" s="24" t="n">
        <f aca="false">Series!AK14</f>
        <v>9.7</v>
      </c>
      <c r="F50" s="24" t="n">
        <f aca="false">Series!AL14</f>
        <v>23.2</v>
      </c>
      <c r="G50" s="16" t="n">
        <f aca="false">ROUND(E50-F50,1)</f>
        <v>-13.5</v>
      </c>
    </row>
    <row r="51" customFormat="false" ht="15" hidden="false" customHeight="false" outlineLevel="0" collapsed="false">
      <c r="A51" s="4" t="s">
        <v>121</v>
      </c>
      <c r="B51" s="27" t="n">
        <f aca="false">Series!AH18</f>
        <v>0.0410958904109589</v>
      </c>
      <c r="C51" s="27" t="n">
        <f aca="false">Series!AI18</f>
        <v>0.0136986301369863</v>
      </c>
      <c r="D51" s="16" t="n">
        <f aca="false">ROUND((B51-C51)*100,1)</f>
        <v>2.7</v>
      </c>
      <c r="E51" s="24" t="n">
        <f aca="false">Series!AK18</f>
        <v>28</v>
      </c>
      <c r="F51" s="24" t="n">
        <f aca="false">Series!AL18</f>
        <v>25.6</v>
      </c>
      <c r="G51" s="16" t="n">
        <f aca="false">ROUND(E51-F51,1)</f>
        <v>2.4</v>
      </c>
    </row>
    <row r="52" customFormat="false" ht="15" hidden="false" customHeight="false" outlineLevel="0" collapsed="false">
      <c r="A52" s="4" t="s">
        <v>129</v>
      </c>
      <c r="B52" s="27" t="n">
        <f aca="false">Series!AH22</f>
        <v>0.0427350427350427</v>
      </c>
      <c r="C52" s="27" t="n">
        <f aca="false">Series!AI22</f>
        <v>0.0305676855895197</v>
      </c>
      <c r="D52" s="16" t="n">
        <f aca="false">ROUND((B52-C52)*100,1)</f>
        <v>1.2</v>
      </c>
      <c r="E52" s="24" t="n">
        <f aca="false">Series!AK22</f>
        <v>24.4</v>
      </c>
      <c r="F52" s="24" t="n">
        <f aca="false">Series!AL22</f>
        <v>42.2</v>
      </c>
      <c r="G52" s="16" t="n">
        <f aca="false">ROUND(E52-F52,1)</f>
        <v>-17.8</v>
      </c>
    </row>
    <row r="53" customFormat="false" ht="15" hidden="false" customHeight="false" outlineLevel="0" collapsed="false">
      <c r="A53" s="4" t="s">
        <v>134</v>
      </c>
      <c r="B53" s="27" t="n">
        <f aca="false">Series!AH26</f>
        <v>0.0472972972972973</v>
      </c>
      <c r="C53" s="27" t="n">
        <f aca="false">Series!AI26</f>
        <v>0.0735930735930736</v>
      </c>
      <c r="D53" s="16" t="n">
        <f aca="false">ROUND((B53-C53)*100,1)</f>
        <v>-2.6</v>
      </c>
      <c r="E53" s="24" t="n">
        <f aca="false">Series!AK26</f>
        <v>44.3</v>
      </c>
      <c r="F53" s="24" t="n">
        <f aca="false">Series!AL26</f>
        <v>58.8</v>
      </c>
      <c r="G53" s="16" t="n">
        <f aca="false">ROUND(E53-F53,1)</f>
        <v>-14.5</v>
      </c>
    </row>
    <row r="54" customFormat="false" ht="15" hidden="false" customHeight="false" outlineLevel="0" collapsed="false">
      <c r="A54" s="4" t="s">
        <v>140</v>
      </c>
      <c r="B54" s="27" t="n">
        <f aca="false">Series!AH30</f>
        <v>0.282608695652174</v>
      </c>
      <c r="C54" s="27" t="n">
        <f aca="false">Series!AI30</f>
        <v>0.031390134529148</v>
      </c>
      <c r="D54" s="16" t="n">
        <f aca="false">ROUND((B54-C54)*100,1)</f>
        <v>25.1</v>
      </c>
      <c r="E54" s="24" t="n">
        <f aca="false">Series!AK30</f>
        <v>35.3</v>
      </c>
      <c r="F54" s="24" t="n">
        <f aca="false">Series!AL30</f>
        <v>53.7</v>
      </c>
      <c r="G54" s="16" t="n">
        <f aca="false">ROUND(E54-F54,1)</f>
        <v>-18.4</v>
      </c>
    </row>
    <row r="55" customFormat="false" ht="15" hidden="false" customHeight="false" outlineLevel="0" collapsed="false">
      <c r="A55" s="23" t="s">
        <v>246</v>
      </c>
    </row>
    <row r="74" customFormat="false" ht="15" hidden="false" customHeight="false" outlineLevel="0" collapsed="false">
      <c r="A74" s="23" t="s">
        <v>247</v>
      </c>
    </row>
    <row r="93" customFormat="false" ht="15" hidden="false" customHeight="false" outlineLevel="0" collapsed="false">
      <c r="A93" s="23" t="s">
        <v>248</v>
      </c>
    </row>
    <row r="112" customFormat="false" ht="15" hidden="false" customHeight="false" outlineLevel="0" collapsed="false">
      <c r="A112" s="23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2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26"/>
  </cols>
  <sheetData>
    <row r="1" customFormat="false" ht="17.35" hidden="false" customHeight="false" outlineLevel="0" collapsed="false">
      <c r="A1" s="1" t="s">
        <v>250</v>
      </c>
    </row>
    <row r="2" customFormat="false" ht="15" hidden="false" customHeight="false" outlineLevel="0" collapsed="false">
      <c r="A2" s="2" t="s">
        <v>251</v>
      </c>
    </row>
    <row r="4" customFormat="false" ht="48" hidden="false" customHeight="true" outlineLevel="0" collapsed="false">
      <c r="A4" s="10" t="s">
        <v>252</v>
      </c>
      <c r="B4" s="10" t="s">
        <v>253</v>
      </c>
      <c r="C4" s="10" t="s">
        <v>254</v>
      </c>
      <c r="D4" s="10" t="s">
        <v>255</v>
      </c>
      <c r="E4" s="10" t="s">
        <v>256</v>
      </c>
      <c r="F4" s="10" t="s">
        <v>257</v>
      </c>
    </row>
    <row r="5" customFormat="false" ht="26.85" hidden="false" customHeight="false" outlineLevel="0" collapsed="false">
      <c r="A5" s="28" t="s">
        <v>60</v>
      </c>
      <c r="B5" s="5" t="s">
        <v>258</v>
      </c>
      <c r="C5" s="5" t="s">
        <v>259</v>
      </c>
      <c r="D5" s="5" t="s">
        <v>260</v>
      </c>
      <c r="E5" s="5" t="s">
        <v>165</v>
      </c>
      <c r="F5" s="5" t="s">
        <v>261</v>
      </c>
    </row>
    <row r="6" customFormat="false" ht="26.85" hidden="false" customHeight="false" outlineLevel="0" collapsed="false">
      <c r="A6" s="28" t="s">
        <v>262</v>
      </c>
      <c r="B6" s="5" t="s">
        <v>263</v>
      </c>
      <c r="C6" s="5" t="s">
        <v>259</v>
      </c>
      <c r="D6" s="5" t="s">
        <v>264</v>
      </c>
      <c r="E6" s="5" t="s">
        <v>165</v>
      </c>
      <c r="F6" s="5" t="s">
        <v>265</v>
      </c>
    </row>
    <row r="7" customFormat="false" ht="39.55" hidden="false" customHeight="false" outlineLevel="0" collapsed="false">
      <c r="A7" s="28" t="s">
        <v>266</v>
      </c>
      <c r="B7" s="5" t="s">
        <v>267</v>
      </c>
      <c r="C7" s="5" t="s">
        <v>268</v>
      </c>
      <c r="D7" s="5" t="s">
        <v>269</v>
      </c>
      <c r="E7" s="5" t="s">
        <v>270</v>
      </c>
      <c r="F7" s="5" t="s">
        <v>9</v>
      </c>
    </row>
    <row r="8" customFormat="false" ht="26.85" hidden="false" customHeight="false" outlineLevel="0" collapsed="false">
      <c r="A8" s="28" t="s">
        <v>271</v>
      </c>
      <c r="B8" s="5" t="s">
        <v>272</v>
      </c>
      <c r="C8" s="5" t="s">
        <v>273</v>
      </c>
      <c r="D8" s="5" t="s">
        <v>269</v>
      </c>
      <c r="E8" s="5" t="s">
        <v>165</v>
      </c>
      <c r="F8" s="5" t="s">
        <v>274</v>
      </c>
    </row>
    <row r="9" customFormat="false" ht="26.85" hidden="false" customHeight="false" outlineLevel="0" collapsed="false">
      <c r="A9" s="28" t="s">
        <v>275</v>
      </c>
      <c r="B9" s="5" t="s">
        <v>276</v>
      </c>
      <c r="C9" s="5" t="s">
        <v>277</v>
      </c>
      <c r="D9" s="5" t="s">
        <v>269</v>
      </c>
      <c r="E9" s="5" t="s">
        <v>165</v>
      </c>
      <c r="F9" s="5" t="s">
        <v>278</v>
      </c>
    </row>
    <row r="10" customFormat="false" ht="39.55" hidden="false" customHeight="false" outlineLevel="0" collapsed="false">
      <c r="A10" s="28" t="s">
        <v>279</v>
      </c>
      <c r="B10" s="5" t="s">
        <v>280</v>
      </c>
      <c r="C10" s="5" t="s">
        <v>259</v>
      </c>
      <c r="D10" s="5" t="s">
        <v>269</v>
      </c>
      <c r="E10" s="5" t="s">
        <v>165</v>
      </c>
      <c r="F10" s="5" t="s">
        <v>281</v>
      </c>
    </row>
    <row r="11" customFormat="false" ht="26.85" hidden="false" customHeight="false" outlineLevel="0" collapsed="false">
      <c r="A11" s="28" t="s">
        <v>79</v>
      </c>
      <c r="B11" s="5" t="s">
        <v>282</v>
      </c>
      <c r="C11" s="5" t="s">
        <v>283</v>
      </c>
      <c r="D11" s="5" t="s">
        <v>269</v>
      </c>
      <c r="E11" s="5" t="s">
        <v>165</v>
      </c>
      <c r="F11" s="5" t="s">
        <v>284</v>
      </c>
    </row>
    <row r="12" customFormat="false" ht="26.85" hidden="false" customHeight="false" outlineLevel="0" collapsed="false">
      <c r="A12" s="28" t="s">
        <v>180</v>
      </c>
      <c r="B12" s="5" t="s">
        <v>285</v>
      </c>
      <c r="C12" s="5" t="s">
        <v>286</v>
      </c>
      <c r="D12" s="5" t="s">
        <v>269</v>
      </c>
      <c r="E12" s="5" t="s">
        <v>165</v>
      </c>
      <c r="F12" s="5" t="s">
        <v>287</v>
      </c>
    </row>
    <row r="13" customFormat="false" ht="26.85" hidden="false" customHeight="false" outlineLevel="0" collapsed="false">
      <c r="A13" s="28" t="s">
        <v>288</v>
      </c>
      <c r="B13" s="5" t="s">
        <v>289</v>
      </c>
      <c r="C13" s="5" t="s">
        <v>290</v>
      </c>
      <c r="D13" s="5" t="s">
        <v>291</v>
      </c>
      <c r="E13" s="5" t="s">
        <v>165</v>
      </c>
      <c r="F13" s="5" t="s">
        <v>292</v>
      </c>
    </row>
    <row r="14" customFormat="false" ht="39.55" hidden="false" customHeight="false" outlineLevel="0" collapsed="false">
      <c r="A14" s="28" t="s">
        <v>293</v>
      </c>
      <c r="B14" s="5" t="s">
        <v>294</v>
      </c>
      <c r="C14" s="5" t="s">
        <v>295</v>
      </c>
      <c r="D14" s="5" t="s">
        <v>269</v>
      </c>
      <c r="E14" s="5" t="s">
        <v>296</v>
      </c>
      <c r="F14" s="5" t="s">
        <v>297</v>
      </c>
    </row>
    <row r="15" customFormat="false" ht="26.85" hidden="false" customHeight="false" outlineLevel="0" collapsed="false">
      <c r="A15" s="28" t="s">
        <v>298</v>
      </c>
      <c r="B15" s="5" t="s">
        <v>299</v>
      </c>
      <c r="C15" s="5" t="s">
        <v>259</v>
      </c>
      <c r="D15" s="5" t="s">
        <v>269</v>
      </c>
      <c r="E15" s="5" t="s">
        <v>165</v>
      </c>
      <c r="F15" s="5" t="s">
        <v>300</v>
      </c>
    </row>
    <row r="16" customFormat="false" ht="15" hidden="false" customHeight="false" outlineLevel="0" collapsed="false">
      <c r="A16" s="28" t="s">
        <v>301</v>
      </c>
      <c r="B16" s="5" t="s">
        <v>302</v>
      </c>
      <c r="C16" s="5" t="s">
        <v>303</v>
      </c>
      <c r="D16" s="5" t="s">
        <v>304</v>
      </c>
      <c r="E16" s="5" t="s">
        <v>305</v>
      </c>
      <c r="F16" s="5" t="s">
        <v>306</v>
      </c>
    </row>
    <row r="17" customFormat="false" ht="26.85" hidden="false" customHeight="false" outlineLevel="0" collapsed="false">
      <c r="A17" s="28" t="s">
        <v>307</v>
      </c>
      <c r="B17" s="5" t="s">
        <v>308</v>
      </c>
      <c r="C17" s="5" t="s">
        <v>303</v>
      </c>
      <c r="D17" s="5" t="s">
        <v>309</v>
      </c>
      <c r="E17" s="5" t="s">
        <v>305</v>
      </c>
      <c r="F17" s="5" t="s">
        <v>310</v>
      </c>
    </row>
    <row r="18" customFormat="false" ht="26.85" hidden="false" customHeight="false" outlineLevel="0" collapsed="false">
      <c r="A18" s="28" t="s">
        <v>311</v>
      </c>
      <c r="B18" s="5" t="s">
        <v>312</v>
      </c>
      <c r="C18" s="5" t="s">
        <v>303</v>
      </c>
      <c r="D18" s="5" t="s">
        <v>313</v>
      </c>
      <c r="E18" s="5" t="s">
        <v>305</v>
      </c>
      <c r="F18" s="5" t="s">
        <v>314</v>
      </c>
    </row>
    <row r="19" customFormat="false" ht="26.85" hidden="false" customHeight="false" outlineLevel="0" collapsed="false">
      <c r="A19" s="28" t="s">
        <v>315</v>
      </c>
      <c r="B19" s="5" t="s">
        <v>316</v>
      </c>
      <c r="C19" s="5" t="s">
        <v>317</v>
      </c>
      <c r="D19" s="5" t="s">
        <v>318</v>
      </c>
      <c r="E19" s="5" t="s">
        <v>319</v>
      </c>
      <c r="F19" s="5" t="s">
        <v>7</v>
      </c>
    </row>
    <row r="21" customFormat="false" ht="15" hidden="false" customHeight="false" outlineLevel="0" collapsed="false">
      <c r="A21" s="20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28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321</v>
      </c>
    </row>
    <row r="2" customFormat="false" ht="15" hidden="false" customHeight="false" outlineLevel="0" collapsed="false">
      <c r="A2" s="2" t="s">
        <v>322</v>
      </c>
    </row>
    <row r="4" customFormat="false" ht="48" hidden="false" customHeight="true" outlineLevel="0" collapsed="false">
      <c r="A4" s="10" t="s">
        <v>323</v>
      </c>
      <c r="B4" s="10" t="s">
        <v>15</v>
      </c>
      <c r="C4" s="10" t="s">
        <v>324</v>
      </c>
      <c r="D4" s="10" t="s">
        <v>325</v>
      </c>
      <c r="E4" s="10" t="s">
        <v>326</v>
      </c>
    </row>
    <row r="5" customFormat="false" ht="61.5" hidden="false" customHeight="true" outlineLevel="0" collapsed="false">
      <c r="A5" s="28" t="s">
        <v>327</v>
      </c>
      <c r="B5" s="5" t="s">
        <v>328</v>
      </c>
      <c r="C5" s="5" t="s">
        <v>329</v>
      </c>
      <c r="D5" s="5" t="str">
        <f aca="false">"Nuevo: "&amp;TEXT('Resumen anual'!D8,"0.0")&amp;"% (2023) → "&amp;TEXT('Resumen anual'!D11,"0.0")&amp;"% (2026). Saldo: "&amp;TEXT('Resumen anual'!F8,"0.0")&amp;"% → "&amp;TEXT('Resumen anual'!F11,"0.0")&amp;"%"</f>
        <v>Nuevo: 15.4% (2023) → 12.2% (2026). Saldo: 37.8% → 37.2%</v>
      </c>
      <c r="E5" s="5" t="s">
        <v>330</v>
      </c>
    </row>
    <row r="6" customFormat="false" ht="61.5" hidden="false" customHeight="true" outlineLevel="0" collapsed="false">
      <c r="A6" s="28" t="s">
        <v>331</v>
      </c>
      <c r="B6" s="5" t="s">
        <v>332</v>
      </c>
      <c r="C6" s="5" t="s">
        <v>333</v>
      </c>
      <c r="D6" s="5" t="str">
        <f aca="false">"Brecha con crédito: "&amp;TEXT('Por tamaño'!D40,"0.0")&amp;" pp (2023) → "&amp;TEXT('Por tamaño'!D43,"0.0")&amp;" pp (2026)"</f>
        <v>Brecha con crédito: 6.8 pp (2023) → 12.4 pp (2026)</v>
      </c>
      <c r="E6" s="5" t="s">
        <v>334</v>
      </c>
    </row>
    <row r="7" customFormat="false" ht="61.5" hidden="false" customHeight="true" outlineLevel="0" collapsed="false">
      <c r="A7" s="28" t="s">
        <v>335</v>
      </c>
      <c r="B7" s="5" t="s">
        <v>336</v>
      </c>
      <c r="C7" s="5" t="s">
        <v>337</v>
      </c>
      <c r="D7" s="5" t="str">
        <f aca="false">"Meseta "&amp;TEXT(Estadísticas!C25,"0.0")&amp;"% vs recortes "&amp;TEXT(Estadísticas!C26,"0.0")&amp;"%. TIIE 28: "&amp;TEXT('Resumen anual'!S8,"0.00")&amp;"% (2023) → "&amp;TEXT('Resumen anual'!S11,"0.00")&amp;"% (2026)"</f>
        <v>Meseta 15.2% vs recortes 13.6%. TIIE 28: 11.40% (2023) → 6.97% (2026)</v>
      </c>
      <c r="E7" s="5" t="s">
        <v>338</v>
      </c>
    </row>
    <row r="8" customFormat="false" ht="61.5" hidden="false" customHeight="true" outlineLevel="0" collapsed="false">
      <c r="A8" s="28" t="s">
        <v>339</v>
      </c>
      <c r="B8" s="5" t="s">
        <v>340</v>
      </c>
      <c r="C8" s="5" t="s">
        <v>341</v>
      </c>
      <c r="D8" s="5" t="str">
        <f aca="false">"II-26: pymes "&amp;TEXT(Series!AH30,"0.0%")&amp;" vs grandes "&amp;TEXT(Series!AI30,"0.0%")&amp;"; total 2026 "&amp;TEXT('Resumen anual'!Q11,"0.0%")&amp;" vs "&amp;TEXT('Resumen anual'!Q10,"0.0%")&amp;" en 2025"</f>
        <v>II-26: pymes 28.3% vs grandes 3.1%; total 2026 23.4% vs 6.4% en 2025</v>
      </c>
      <c r="E8" s="5" t="s">
        <v>342</v>
      </c>
    </row>
    <row r="9" customFormat="false" ht="61.5" hidden="false" customHeight="true" outlineLevel="0" collapsed="false">
      <c r="A9" s="28" t="s">
        <v>343</v>
      </c>
      <c r="B9" s="5" t="s">
        <v>344</v>
      </c>
      <c r="C9" s="5" t="s">
        <v>345</v>
      </c>
      <c r="D9" s="5" t="str">
        <f aca="false">"II-26: ventas "&amp;TEXT(Series!AR30,"0.0")&amp;"% vs acceso "&amp;TEXT(Series!AS30,"0.0")&amp;"%; no solicitaron "&amp;TEXT(Series!L30,"0.0")&amp;"%"</f>
        <v>II-26: ventas 44.6% vs acceso 1.2%; no solicitaron 82.1%</v>
      </c>
      <c r="E9" s="5" t="s">
        <v>334</v>
      </c>
    </row>
    <row r="10" customFormat="false" ht="61.5" hidden="false" customHeight="true" outlineLevel="0" collapsed="false">
      <c r="A10" s="28" t="s">
        <v>346</v>
      </c>
      <c r="B10" s="5" t="s">
        <v>347</v>
      </c>
      <c r="C10" s="5" t="s">
        <v>348</v>
      </c>
      <c r="D10" s="5" t="str">
        <f aca="false">"II-26: "&amp;TEXT(Series!AP30,"0.0")&amp;"% de las grandes y "&amp;TEXT(Series!AO30,"0.0")&amp;"% de las pymes con crédito nuevo lo usó para comercio exterior"</f>
        <v>II-26: 0.9% de las grandes y 0.0% de las pymes con crédito nuevo lo usó para comercio exterior</v>
      </c>
      <c r="E10" s="5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3" min="3" style="0" width="60"/>
    <col collapsed="false" customWidth="true" hidden="false" outlineLevel="0" max="4" min="4" style="0" width="34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350</v>
      </c>
    </row>
    <row r="2" customFormat="false" ht="15" hidden="false" customHeight="false" outlineLevel="0" collapsed="false">
      <c r="A2" s="2" t="s">
        <v>351</v>
      </c>
    </row>
    <row r="4" customFormat="false" ht="48" hidden="false" customHeight="true" outlineLevel="0" collapsed="false">
      <c r="A4" s="10" t="s">
        <v>352</v>
      </c>
      <c r="B4" s="10" t="s">
        <v>353</v>
      </c>
      <c r="C4" s="10" t="s">
        <v>354</v>
      </c>
      <c r="D4" s="10" t="s">
        <v>355</v>
      </c>
      <c r="E4" s="10" t="s">
        <v>356</v>
      </c>
    </row>
    <row r="5" customFormat="false" ht="39.55" hidden="false" customHeight="false" outlineLevel="0" collapsed="false">
      <c r="A5" s="28" t="s">
        <v>357</v>
      </c>
      <c r="B5" s="5" t="s">
        <v>358</v>
      </c>
      <c r="C5" s="5" t="s">
        <v>359</v>
      </c>
      <c r="D5" s="5" t="s">
        <v>360</v>
      </c>
      <c r="E5" s="5" t="s">
        <v>361</v>
      </c>
    </row>
    <row r="6" customFormat="false" ht="26.85" hidden="false" customHeight="false" outlineLevel="0" collapsed="false">
      <c r="A6" s="28" t="s">
        <v>362</v>
      </c>
      <c r="B6" s="5" t="s">
        <v>363</v>
      </c>
      <c r="C6" s="5" t="s">
        <v>364</v>
      </c>
      <c r="D6" s="5" t="s">
        <v>365</v>
      </c>
      <c r="E6" s="5" t="s">
        <v>366</v>
      </c>
    </row>
    <row r="7" customFormat="false" ht="26.85" hidden="false" customHeight="false" outlineLevel="0" collapsed="false">
      <c r="A7" s="28" t="s">
        <v>367</v>
      </c>
      <c r="B7" s="5" t="s">
        <v>368</v>
      </c>
      <c r="C7" s="5" t="s">
        <v>369</v>
      </c>
      <c r="D7" s="5" t="s">
        <v>370</v>
      </c>
      <c r="E7" s="5" t="s">
        <v>371</v>
      </c>
    </row>
    <row r="8" customFormat="false" ht="26.85" hidden="false" customHeight="false" outlineLevel="0" collapsed="false">
      <c r="A8" s="28" t="s">
        <v>372</v>
      </c>
      <c r="B8" s="5" t="s">
        <v>373</v>
      </c>
      <c r="C8" s="5" t="s">
        <v>374</v>
      </c>
      <c r="D8" s="5" t="s">
        <v>375</v>
      </c>
      <c r="E8" s="5" t="s">
        <v>371</v>
      </c>
    </row>
    <row r="9" customFormat="false" ht="15" hidden="false" customHeight="false" outlineLevel="0" collapsed="false">
      <c r="A9" s="28" t="s">
        <v>376</v>
      </c>
      <c r="B9" s="5" t="s">
        <v>377</v>
      </c>
      <c r="C9" s="5" t="s">
        <v>378</v>
      </c>
      <c r="D9" s="5" t="s">
        <v>379</v>
      </c>
      <c r="E9" s="5" t="s">
        <v>380</v>
      </c>
    </row>
    <row r="10" customFormat="false" ht="15" hidden="false" customHeight="false" outlineLevel="0" collapsed="false">
      <c r="A10" s="28" t="s">
        <v>381</v>
      </c>
      <c r="B10" s="5" t="s">
        <v>382</v>
      </c>
      <c r="C10" s="5" t="s">
        <v>383</v>
      </c>
      <c r="D10" s="5" t="s">
        <v>384</v>
      </c>
      <c r="E10" s="5" t="s">
        <v>385</v>
      </c>
    </row>
    <row r="11" customFormat="false" ht="26.85" hidden="false" customHeight="false" outlineLevel="0" collapsed="false">
      <c r="A11" s="28" t="s">
        <v>386</v>
      </c>
      <c r="B11" s="5" t="s">
        <v>387</v>
      </c>
      <c r="C11" s="5" t="s">
        <v>388</v>
      </c>
      <c r="D11" s="5" t="s">
        <v>389</v>
      </c>
      <c r="E11" s="5" t="s">
        <v>390</v>
      </c>
    </row>
    <row r="12" customFormat="false" ht="15" hidden="false" customHeight="false" outlineLevel="0" collapsed="false">
      <c r="A12" s="28" t="s">
        <v>391</v>
      </c>
      <c r="B12" s="5" t="s">
        <v>392</v>
      </c>
      <c r="C12" s="5" t="s">
        <v>393</v>
      </c>
      <c r="D12" s="5" t="s">
        <v>394</v>
      </c>
      <c r="E12" s="5" t="s">
        <v>395</v>
      </c>
    </row>
    <row r="15" customFormat="false" ht="15" hidden="false" customHeight="false" outlineLevel="0" collapsed="false">
      <c r="A15" s="3" t="s">
        <v>396</v>
      </c>
    </row>
    <row r="16" customFormat="false" ht="48" hidden="false" customHeight="true" outlineLevel="0" collapsed="false">
      <c r="A16" s="10" t="s">
        <v>397</v>
      </c>
      <c r="B16" s="10" t="s">
        <v>398</v>
      </c>
    </row>
    <row r="17" customFormat="false" ht="15" hidden="false" customHeight="false" outlineLevel="0" collapsed="false">
      <c r="A17" s="11" t="s">
        <v>399</v>
      </c>
      <c r="B17" s="17" t="n">
        <v>82.8</v>
      </c>
    </row>
    <row r="18" customFormat="false" ht="15" hidden="false" customHeight="false" outlineLevel="0" collapsed="false">
      <c r="A18" s="11" t="s">
        <v>400</v>
      </c>
      <c r="B18" s="17" t="n">
        <v>28.5</v>
      </c>
    </row>
    <row r="19" customFormat="false" ht="15" hidden="false" customHeight="false" outlineLevel="0" collapsed="false">
      <c r="A19" s="11" t="s">
        <v>401</v>
      </c>
      <c r="B19" s="17" t="n">
        <v>12.7</v>
      </c>
    </row>
    <row r="20" customFormat="false" ht="15" hidden="false" customHeight="false" outlineLevel="0" collapsed="false">
      <c r="A20" s="11" t="s">
        <v>402</v>
      </c>
      <c r="B20" s="17" t="n">
        <v>1.9</v>
      </c>
    </row>
    <row r="21" customFormat="false" ht="15" hidden="false" customHeight="false" outlineLevel="0" collapsed="false">
      <c r="A21" s="11" t="s">
        <v>403</v>
      </c>
      <c r="B21" s="17" t="n">
        <v>0.9</v>
      </c>
    </row>
    <row r="22" customFormat="false" ht="15" hidden="false" customHeight="false" outlineLevel="0" collapsed="false">
      <c r="A22" s="11" t="s">
        <v>404</v>
      </c>
      <c r="B22" s="17" t="n">
        <v>0.5</v>
      </c>
    </row>
    <row r="24" customFormat="false" ht="15" hidden="false" customHeight="false" outlineLevel="0" collapsed="false">
      <c r="A24" s="23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5" min="2" style="0" width="14"/>
    <col collapsed="false" customWidth="true" hidden="false" outlineLevel="0" max="6" min="6" style="0" width="4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406</v>
      </c>
    </row>
    <row r="2" customFormat="false" ht="15" hidden="false" customHeight="false" outlineLevel="0" collapsed="false">
      <c r="A2" s="2" t="s">
        <v>407</v>
      </c>
    </row>
    <row r="4" customFormat="false" ht="48" hidden="false" customHeight="true" outlineLevel="0" collapsed="false">
      <c r="A4" s="10" t="s">
        <v>324</v>
      </c>
      <c r="B4" s="10" t="s">
        <v>408</v>
      </c>
    </row>
    <row r="5" customFormat="false" ht="15" hidden="false" customHeight="false" outlineLevel="0" collapsed="false">
      <c r="A5" s="11" t="s">
        <v>409</v>
      </c>
      <c r="B5" s="16" t="n">
        <f aca="false">AVERAGE(Series!$J$5:$J$31)</f>
        <v>13.75</v>
      </c>
    </row>
    <row r="6" customFormat="false" ht="15" hidden="false" customHeight="false" outlineLevel="0" collapsed="false">
      <c r="A6" s="11" t="s">
        <v>410</v>
      </c>
      <c r="B6" s="16" t="n">
        <f aca="false">STDEV(Series!$J$5:$J$31)</f>
        <v>2.06634943801865</v>
      </c>
    </row>
    <row r="7" customFormat="false" ht="15" hidden="false" customHeight="false" outlineLevel="0" collapsed="false">
      <c r="A7" s="11" t="s">
        <v>411</v>
      </c>
      <c r="B7" s="16" t="n">
        <f aca="false">MIN(Series!$J$5:$J$31)</f>
        <v>9</v>
      </c>
    </row>
    <row r="8" customFormat="false" ht="15" hidden="false" customHeight="false" outlineLevel="0" collapsed="false">
      <c r="A8" s="11" t="s">
        <v>412</v>
      </c>
      <c r="B8" s="11" t="str">
        <f aca="false">INDEX(Series!$A$5:$A$31,MATCH(MIN(Series!$J$5:$J$31),Series!$J$5:$J$31,0))</f>
        <v>IV-21</v>
      </c>
    </row>
    <row r="9" customFormat="false" ht="15" hidden="false" customHeight="false" outlineLevel="0" collapsed="false">
      <c r="A9" s="11" t="s">
        <v>413</v>
      </c>
      <c r="B9" s="12" t="n">
        <f aca="false">RANK(Series!J30,Series!$J$5:$J$31,1)</f>
        <v>4</v>
      </c>
    </row>
    <row r="10" customFormat="false" ht="15" hidden="false" customHeight="false" outlineLevel="0" collapsed="false">
      <c r="A10" s="11" t="s">
        <v>414</v>
      </c>
      <c r="B10" s="16" t="n">
        <f aca="false">MAX(Series!$J$5:$J$31)</f>
        <v>16.7</v>
      </c>
    </row>
    <row r="11" customFormat="false" ht="15" hidden="false" customHeight="false" outlineLevel="0" collapsed="false">
      <c r="A11" s="11" t="s">
        <v>415</v>
      </c>
      <c r="B11" s="25" t="n">
        <f aca="false">SLOPE(Series!J17:J30,Series!E17:E30)*4</f>
        <v>-1.03120879120879</v>
      </c>
    </row>
    <row r="12" customFormat="false" ht="15" hidden="false" customHeight="false" outlineLevel="0" collapsed="false">
      <c r="A12" s="11" t="s">
        <v>416</v>
      </c>
      <c r="B12" s="25" t="n">
        <f aca="false">CORREL(Series!J5:J30,Series!F5:F30)</f>
        <v>0.483848900641291</v>
      </c>
    </row>
    <row r="13" customFormat="false" ht="15" hidden="false" customHeight="false" outlineLevel="0" collapsed="false">
      <c r="A13" s="11" t="s">
        <v>417</v>
      </c>
      <c r="B13" s="25" t="n">
        <f aca="false">CORREL(Series!J6:J30,Series!F5:F29)</f>
        <v>0.430597546666286</v>
      </c>
    </row>
    <row r="14" customFormat="false" ht="26.85" hidden="false" customHeight="false" outlineLevel="0" collapsed="false">
      <c r="A14" s="5" t="s">
        <v>418</v>
      </c>
      <c r="B14" s="16" t="n">
        <f aca="false">1.96*SQRT(B5/100*(1-B5/100)/650)*100</f>
        <v>2.64746540618061</v>
      </c>
    </row>
    <row r="15" customFormat="false" ht="15" hidden="false" customHeight="false" outlineLevel="0" collapsed="false">
      <c r="A15" s="11" t="s">
        <v>419</v>
      </c>
      <c r="B15" s="16" t="n">
        <f aca="false">MAX(Series!$P$5:$P$31)</f>
        <v>21.6</v>
      </c>
    </row>
    <row r="16" customFormat="false" ht="15" hidden="false" customHeight="false" outlineLevel="0" collapsed="false">
      <c r="A16" s="11" t="s">
        <v>420</v>
      </c>
      <c r="B16" s="11" t="str">
        <f aca="false">INDEX(Series!$A$5:$A$31,MATCH(B15,Series!$P$5:$P$31,0))</f>
        <v>II-20</v>
      </c>
    </row>
    <row r="17" customFormat="false" ht="15" hidden="false" customHeight="false" outlineLevel="0" collapsed="false">
      <c r="A17" s="11" t="s">
        <v>421</v>
      </c>
      <c r="B17" s="25" t="n">
        <f aca="false">CORREL(Series!J5:J30,Series!H5:H30)</f>
        <v>0.451334104846389</v>
      </c>
    </row>
    <row r="18" customFormat="false" ht="15" hidden="false" customHeight="false" outlineLevel="0" collapsed="false">
      <c r="A18" s="5" t="s">
        <v>422</v>
      </c>
      <c r="B18" s="25" t="n">
        <f aca="false">AVERAGE(Series!G5:G31)-AVERAGE(Series!F5:F31)</f>
        <v>0.236755555555556</v>
      </c>
    </row>
    <row r="19" customFormat="false" ht="15" hidden="false" customHeight="false" outlineLevel="0" collapsed="false">
      <c r="A19" s="20" t="s">
        <v>423</v>
      </c>
    </row>
    <row r="21" customFormat="false" ht="48" hidden="false" customHeight="true" outlineLevel="0" collapsed="false">
      <c r="A21" s="10" t="s">
        <v>424</v>
      </c>
      <c r="B21" s="10" t="s">
        <v>174</v>
      </c>
      <c r="C21" s="10" t="s">
        <v>425</v>
      </c>
      <c r="D21" s="10" t="s">
        <v>426</v>
      </c>
      <c r="E21" s="10" t="s">
        <v>427</v>
      </c>
      <c r="F21" s="10" t="s">
        <v>428</v>
      </c>
      <c r="G21" s="10" t="s">
        <v>429</v>
      </c>
    </row>
    <row r="22" customFormat="false" ht="15" hidden="false" customHeight="false" outlineLevel="0" collapsed="false">
      <c r="A22" s="4" t="s">
        <v>102</v>
      </c>
      <c r="B22" s="12" t="n">
        <f aca="false">COUNTIFS(Series!$D$5:$D$31,$A22,Series!$J$5:$J$31,"&lt;&gt;")</f>
        <v>3</v>
      </c>
      <c r="C22" s="16" t="n">
        <f aca="false">IFERROR(AVERAGEIFS(Series!$J$5:$J$31,Series!$D$5:$D$31,$A22),"n.d.")</f>
        <v>12.7333333333333</v>
      </c>
      <c r="D22" s="25" t="n">
        <f aca="false">IFERROR(AVERAGEIFS(Series!$F$5:$F$31,Series!$D$5:$D$31,$A22),"n.d.")</f>
        <v>5.25</v>
      </c>
      <c r="E22" s="16" t="n">
        <f aca="false">IFERROR(AVERAGEIFS(Series!$T$5:$T$31,Series!$D$5:$D$31,$A22),"n.d.")</f>
        <v>51.3</v>
      </c>
      <c r="F22" s="11" t="s">
        <v>430</v>
      </c>
      <c r="G22" s="25" t="n">
        <f aca="false">IFERROR(AVERAGEIFS(Series!$H$5:$H$31,Series!$D$5:$D$31,$A22),"n.d.")</f>
        <v>6.12333333333333</v>
      </c>
    </row>
    <row r="23" customFormat="false" ht="15" hidden="false" customHeight="false" outlineLevel="0" collapsed="false">
      <c r="A23" s="4" t="s">
        <v>107</v>
      </c>
      <c r="B23" s="12" t="n">
        <f aca="false">COUNTIFS(Series!$D$5:$D$31,$A23,Series!$J$5:$J$31,"&lt;&gt;")</f>
        <v>2</v>
      </c>
      <c r="C23" s="16" t="n">
        <f aca="false">IFERROR(AVERAGEIFS(Series!$J$5:$J$31,Series!$D$5:$D$31,$A23),"n.d.")</f>
        <v>14.55</v>
      </c>
      <c r="D23" s="25" t="n">
        <f aca="false">IFERROR(AVERAGEIFS(Series!$F$5:$F$31,Series!$D$5:$D$31,$A23),"n.d.")</f>
        <v>4.125</v>
      </c>
      <c r="E23" s="16" t="n">
        <f aca="false">IFERROR(AVERAGEIFS(Series!$T$5:$T$31,Series!$D$5:$D$31,$A23),"n.d.")</f>
        <v>49.45</v>
      </c>
      <c r="F23" s="11" t="s">
        <v>431</v>
      </c>
      <c r="G23" s="25" t="n">
        <f aca="false">IFERROR(AVERAGEIFS(Series!$H$5:$H$31,Series!$D$5:$D$31,$A23),"n.d.")</f>
        <v>4.44</v>
      </c>
    </row>
    <row r="24" customFormat="false" ht="15" hidden="false" customHeight="false" outlineLevel="0" collapsed="false">
      <c r="A24" s="4" t="s">
        <v>111</v>
      </c>
      <c r="B24" s="12" t="n">
        <f aca="false">COUNTIFS(Series!$D$5:$D$31,$A24,Series!$J$5:$J$31,"&lt;&gt;")</f>
        <v>8</v>
      </c>
      <c r="C24" s="16" t="n">
        <f aca="false">IFERROR(AVERAGEIFS(Series!$J$5:$J$31,Series!$D$5:$D$31,$A24),"n.d.")</f>
        <v>13.6</v>
      </c>
      <c r="D24" s="25" t="n">
        <f aca="false">IFERROR(AVERAGEIFS(Series!$F$5:$F$31,Series!$D$5:$D$31,$A24),"n.d.")</f>
        <v>7.46875</v>
      </c>
      <c r="E24" s="16" t="n">
        <f aca="false">IFERROR(AVERAGEIFS(Series!$T$5:$T$31,Series!$D$5:$D$31,$A24),"n.d.")</f>
        <v>54.4125</v>
      </c>
      <c r="F24" s="11" t="s">
        <v>432</v>
      </c>
      <c r="G24" s="25" t="n">
        <f aca="false">IFERROR(AVERAGEIFS(Series!$H$5:$H$31,Series!$D$5:$D$31,$A24),"n.d.")</f>
        <v>7.09625</v>
      </c>
    </row>
    <row r="25" customFormat="false" ht="15" hidden="false" customHeight="false" outlineLevel="0" collapsed="false">
      <c r="A25" s="4" t="s">
        <v>122</v>
      </c>
      <c r="B25" s="12" t="n">
        <f aca="false">COUNTIFS(Series!$D$5:$D$31,$A25,Series!$J$5:$J$31,"&lt;&gt;")</f>
        <v>3</v>
      </c>
      <c r="C25" s="16" t="n">
        <f aca="false">IFERROR(AVERAGEIFS(Series!$J$5:$J$31,Series!$D$5:$D$31,$A25),"n.d.")</f>
        <v>15.2</v>
      </c>
      <c r="D25" s="25" t="n">
        <f aca="false">IFERROR(AVERAGEIFS(Series!$F$5:$F$31,Series!$D$5:$D$31,$A25),"n.d.")</f>
        <v>11.25</v>
      </c>
      <c r="E25" s="16" t="n">
        <f aca="false">IFERROR(AVERAGEIFS(Series!$T$5:$T$31,Series!$D$5:$D$31,$A25),"n.d.")</f>
        <v>57.5666666666667</v>
      </c>
      <c r="F25" s="11" t="s">
        <v>433</v>
      </c>
      <c r="G25" s="25" t="n">
        <f aca="false">IFERROR(AVERAGEIFS(Series!$H$5:$H$31,Series!$D$5:$D$31,$A25),"n.d.")</f>
        <v>11.5066666666667</v>
      </c>
    </row>
    <row r="26" customFormat="false" ht="15" hidden="false" customHeight="false" outlineLevel="0" collapsed="false">
      <c r="A26" s="4" t="s">
        <v>127</v>
      </c>
      <c r="B26" s="12" t="n">
        <f aca="false">COUNTIFS(Series!$D$5:$D$31,$A26,Series!$J$5:$J$31,"&lt;&gt;")</f>
        <v>10</v>
      </c>
      <c r="C26" s="16" t="n">
        <f aca="false">IFERROR(AVERAGEIFS(Series!$J$5:$J$31,Series!$D$5:$D$31,$A26),"n.d.")</f>
        <v>13.58</v>
      </c>
      <c r="D26" s="25" t="n">
        <f aca="false">IFERROR(AVERAGEIFS(Series!$F$5:$F$31,Series!$D$5:$D$31,$A26),"n.d.")</f>
        <v>8.725</v>
      </c>
      <c r="E26" s="16" t="n">
        <f aca="false">IFERROR(AVERAGEIFS(Series!$T$5:$T$31,Series!$D$5:$D$31,$A26),"n.d.")</f>
        <v>55.08</v>
      </c>
      <c r="F26" s="11" t="s">
        <v>434</v>
      </c>
      <c r="G26" s="25" t="n">
        <f aca="false">IFERROR(AVERAGEIFS(Series!$H$5:$H$31,Series!$D$5:$D$31,$A26),"n.d.")</f>
        <v>9.327</v>
      </c>
    </row>
    <row r="27" customFormat="false" ht="15" hidden="false" customHeight="false" outlineLevel="0" collapsed="false">
      <c r="A27" s="4" t="s">
        <v>143</v>
      </c>
      <c r="B27" s="12" t="n">
        <f aca="false">COUNTIFS(Series!$D$5:$D$31,$A27,Series!$J$5:$J$31,"&lt;&gt;")</f>
        <v>0</v>
      </c>
      <c r="C27" s="16" t="str">
        <f aca="false">IFERROR(AVERAGEIFS(Series!$J$5:$J$31,Series!$D$5:$D$31,$A27),"n.d.")</f>
        <v>n.d.</v>
      </c>
      <c r="D27" s="25" t="n">
        <f aca="false">IFERROR(AVERAGEIFS(Series!$F$5:$F$31,Series!$D$5:$D$31,$A27),"n.d.")</f>
        <v>6.5</v>
      </c>
      <c r="E27" s="16" t="str">
        <f aca="false">IFERROR(AVERAGEIFS(Series!$T$5:$T$31,Series!$D$5:$D$31,$A27),"n.d.")</f>
        <v>n.d.</v>
      </c>
      <c r="F27" s="11" t="s">
        <v>435</v>
      </c>
      <c r="G27" s="25" t="n">
        <f aca="false">IFERROR(AVERAGEIFS(Series!$H$5:$H$31,Series!$D$5:$D$31,$A27),"n.d.")</f>
        <v>6.76</v>
      </c>
    </row>
    <row r="29" customFormat="false" ht="15" hidden="false" customHeight="false" outlineLevel="0" collapsed="false">
      <c r="A29" s="20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3" min="2" style="0" width="13"/>
  </cols>
  <sheetData>
    <row r="1" customFormat="false" ht="17.35" hidden="false" customHeight="false" outlineLevel="0" collapsed="false">
      <c r="A1" s="1" t="s">
        <v>437</v>
      </c>
    </row>
    <row r="2" customFormat="false" ht="15" hidden="false" customHeight="false" outlineLevel="0" collapsed="false">
      <c r="A2" s="2" t="s">
        <v>438</v>
      </c>
    </row>
    <row r="3" customFormat="false" ht="15" hidden="false" customHeight="false" outlineLevel="0" collapsed="false">
      <c r="A3" s="4" t="s">
        <v>439</v>
      </c>
      <c r="B3" s="4" t="s">
        <v>440</v>
      </c>
      <c r="C3" s="4" t="s">
        <v>441</v>
      </c>
      <c r="D3" s="4" t="s">
        <v>442</v>
      </c>
      <c r="E3" s="4" t="s">
        <v>443</v>
      </c>
      <c r="F3" s="4" t="s">
        <v>444</v>
      </c>
      <c r="G3" s="4" t="s">
        <v>445</v>
      </c>
      <c r="H3" s="4" t="s">
        <v>446</v>
      </c>
      <c r="I3" s="4" t="s">
        <v>447</v>
      </c>
      <c r="J3" s="4" t="s">
        <v>448</v>
      </c>
      <c r="K3" s="4" t="s">
        <v>449</v>
      </c>
      <c r="L3" s="4" t="s">
        <v>450</v>
      </c>
      <c r="M3" s="4" t="s">
        <v>451</v>
      </c>
      <c r="N3" s="4" t="s">
        <v>452</v>
      </c>
      <c r="O3" s="4" t="s">
        <v>453</v>
      </c>
      <c r="P3" s="4" t="s">
        <v>454</v>
      </c>
      <c r="Q3" s="4" t="s">
        <v>455</v>
      </c>
      <c r="R3" s="4" t="s">
        <v>456</v>
      </c>
      <c r="S3" s="4" t="s">
        <v>457</v>
      </c>
      <c r="T3" s="4" t="s">
        <v>458</v>
      </c>
      <c r="U3" s="4" t="s">
        <v>459</v>
      </c>
      <c r="V3" s="4" t="s">
        <v>460</v>
      </c>
      <c r="W3" s="4" t="s">
        <v>461</v>
      </c>
      <c r="X3" s="4" t="s">
        <v>462</v>
      </c>
      <c r="Y3" s="4" t="s">
        <v>463</v>
      </c>
      <c r="Z3" s="4" t="s">
        <v>464</v>
      </c>
      <c r="AA3" s="4" t="s">
        <v>465</v>
      </c>
      <c r="AB3" s="4" t="s">
        <v>466</v>
      </c>
      <c r="AC3" s="4" t="s">
        <v>467</v>
      </c>
      <c r="AD3" s="4" t="s">
        <v>468</v>
      </c>
      <c r="AE3" s="4" t="s">
        <v>469</v>
      </c>
      <c r="AF3" s="4" t="s">
        <v>470</v>
      </c>
      <c r="AG3" s="4" t="s">
        <v>471</v>
      </c>
    </row>
    <row r="4" customFormat="false" ht="96" hidden="false" customHeight="true" outlineLevel="0" collapsed="false">
      <c r="A4" s="10" t="s">
        <v>51</v>
      </c>
      <c r="B4" s="10" t="s">
        <v>60</v>
      </c>
      <c r="C4" s="10" t="s">
        <v>62</v>
      </c>
      <c r="D4" s="10" t="s">
        <v>63</v>
      </c>
      <c r="E4" s="10" t="s">
        <v>64</v>
      </c>
      <c r="F4" s="10" t="s">
        <v>65</v>
      </c>
      <c r="G4" s="10" t="s">
        <v>67</v>
      </c>
      <c r="H4" s="10" t="s">
        <v>68</v>
      </c>
      <c r="I4" s="10" t="s">
        <v>70</v>
      </c>
      <c r="J4" s="10" t="s">
        <v>71</v>
      </c>
      <c r="K4" s="10" t="s">
        <v>72</v>
      </c>
      <c r="L4" s="10" t="s">
        <v>73</v>
      </c>
      <c r="M4" s="10" t="s">
        <v>74</v>
      </c>
      <c r="N4" s="10" t="s">
        <v>75</v>
      </c>
      <c r="O4" s="10" t="s">
        <v>76</v>
      </c>
      <c r="P4" s="10" t="s">
        <v>77</v>
      </c>
      <c r="Q4" s="10" t="s">
        <v>78</v>
      </c>
      <c r="R4" s="10" t="s">
        <v>79</v>
      </c>
      <c r="S4" s="10" t="s">
        <v>80</v>
      </c>
      <c r="T4" s="10" t="s">
        <v>81</v>
      </c>
      <c r="U4" s="10" t="s">
        <v>82</v>
      </c>
      <c r="V4" s="10" t="s">
        <v>86</v>
      </c>
      <c r="W4" s="10" t="s">
        <v>87</v>
      </c>
      <c r="X4" s="10" t="s">
        <v>88</v>
      </c>
      <c r="Y4" s="10" t="s">
        <v>89</v>
      </c>
      <c r="Z4" s="10" t="s">
        <v>90</v>
      </c>
      <c r="AA4" s="10" t="s">
        <v>91</v>
      </c>
      <c r="AB4" s="10" t="s">
        <v>92</v>
      </c>
      <c r="AC4" s="10" t="s">
        <v>93</v>
      </c>
      <c r="AD4" s="10" t="s">
        <v>94</v>
      </c>
      <c r="AE4" s="10" t="s">
        <v>95</v>
      </c>
      <c r="AF4" s="10" t="s">
        <v>96</v>
      </c>
      <c r="AG4" s="10" t="s">
        <v>97</v>
      </c>
    </row>
    <row r="5" customFormat="false" ht="15" hidden="false" customHeight="false" outlineLevel="0" collapsed="false">
      <c r="A5" s="4" t="s">
        <v>100</v>
      </c>
      <c r="B5" s="13" t="n">
        <v>23.33</v>
      </c>
      <c r="C5" s="13" t="n">
        <v>-6.1</v>
      </c>
      <c r="D5" s="13" t="n">
        <v>-5.97</v>
      </c>
      <c r="E5" s="13" t="n">
        <v>-5.78</v>
      </c>
      <c r="F5" s="13" t="n">
        <v>-6.56</v>
      </c>
      <c r="G5" s="13" t="n">
        <v>27.27</v>
      </c>
      <c r="H5" s="13" t="n">
        <v>10.49</v>
      </c>
      <c r="I5" s="13" t="n">
        <v>11.05</v>
      </c>
      <c r="J5" s="13" t="n">
        <v>-14.33</v>
      </c>
      <c r="K5" s="13" t="n">
        <v>-9.83</v>
      </c>
      <c r="L5" s="13" t="n">
        <v>3.2</v>
      </c>
      <c r="M5" s="13" t="n">
        <v>13.7</v>
      </c>
      <c r="N5" s="13" t="n">
        <v>13.27</v>
      </c>
      <c r="O5" s="13" t="n">
        <v>14.61</v>
      </c>
      <c r="P5" s="13" t="n">
        <v>17.72</v>
      </c>
      <c r="Q5" s="13" t="n">
        <v>-50</v>
      </c>
      <c r="R5" s="13" t="n">
        <v>172.73</v>
      </c>
      <c r="S5" s="13" t="n">
        <v>183.33</v>
      </c>
      <c r="T5" s="13" t="n">
        <v>66.67</v>
      </c>
      <c r="U5" s="29" t="s">
        <v>472</v>
      </c>
      <c r="V5" s="13" t="n">
        <v>28.87</v>
      </c>
      <c r="W5" s="13" t="n">
        <v>20.81</v>
      </c>
      <c r="X5" s="13" t="n">
        <v>53.86</v>
      </c>
      <c r="Y5" s="13" t="n">
        <v>-23.58</v>
      </c>
      <c r="Z5" s="13" t="n">
        <v>-37.5</v>
      </c>
      <c r="AA5" s="29" t="s">
        <v>472</v>
      </c>
      <c r="AB5" s="13" t="n">
        <v>-33.9</v>
      </c>
      <c r="AC5" s="13" t="n">
        <v>12.69</v>
      </c>
      <c r="AD5" s="13" t="n">
        <v>22.57</v>
      </c>
      <c r="AE5" s="13" t="n">
        <v>1200</v>
      </c>
      <c r="AF5" s="13" t="n">
        <v>3.84</v>
      </c>
      <c r="AG5" s="13" t="n">
        <v>15.46</v>
      </c>
    </row>
    <row r="6" customFormat="false" ht="15" hidden="false" customHeight="false" outlineLevel="0" collapsed="false">
      <c r="A6" s="4" t="s">
        <v>104</v>
      </c>
      <c r="B6" s="13" t="n">
        <v>-40.78</v>
      </c>
      <c r="C6" s="13" t="n">
        <v>6.37</v>
      </c>
      <c r="D6" s="13" t="n">
        <v>-4.37</v>
      </c>
      <c r="E6" s="13" t="n">
        <v>-5.18</v>
      </c>
      <c r="F6" s="13" t="n">
        <v>1.44</v>
      </c>
      <c r="G6" s="13" t="n">
        <v>-50.92</v>
      </c>
      <c r="H6" s="13" t="n">
        <v>0</v>
      </c>
      <c r="I6" s="13" t="n">
        <v>-12.61</v>
      </c>
      <c r="J6" s="13" t="n">
        <v>13.21</v>
      </c>
      <c r="K6" s="13" t="n">
        <v>19.28</v>
      </c>
      <c r="L6" s="13" t="n">
        <v>-0.25</v>
      </c>
      <c r="M6" s="13" t="n">
        <v>-23.28</v>
      </c>
      <c r="N6" s="13" t="n">
        <v>-26.86</v>
      </c>
      <c r="O6" s="13" t="n">
        <v>-6.95</v>
      </c>
      <c r="P6" s="13" t="n">
        <v>7.48</v>
      </c>
      <c r="Q6" s="13" t="n">
        <v>-61.54</v>
      </c>
      <c r="R6" s="13" t="n">
        <v>362.5</v>
      </c>
      <c r="S6" s="13" t="n">
        <v>471.43</v>
      </c>
      <c r="T6" s="13" t="n">
        <v>-25</v>
      </c>
      <c r="U6" s="13" t="n">
        <v>100</v>
      </c>
      <c r="V6" s="13" t="n">
        <v>18.33</v>
      </c>
      <c r="W6" s="13" t="n">
        <v>24.14</v>
      </c>
      <c r="X6" s="13" t="n">
        <v>-0.77</v>
      </c>
      <c r="Y6" s="13" t="n">
        <v>9.05</v>
      </c>
      <c r="Z6" s="13" t="n">
        <v>733.33</v>
      </c>
      <c r="AA6" s="29" t="s">
        <v>472</v>
      </c>
      <c r="AB6" s="13" t="n">
        <v>428.57</v>
      </c>
      <c r="AC6" s="13" t="n">
        <v>-12</v>
      </c>
      <c r="AD6" s="13" t="n">
        <v>-24.89</v>
      </c>
      <c r="AE6" s="13" t="n">
        <v>-33.33</v>
      </c>
      <c r="AF6" s="13" t="n">
        <v>6.88</v>
      </c>
      <c r="AG6" s="13" t="n">
        <v>22.07</v>
      </c>
    </row>
    <row r="7" customFormat="false" ht="15" hidden="false" customHeight="false" outlineLevel="0" collapsed="false">
      <c r="A7" s="4" t="s">
        <v>105</v>
      </c>
      <c r="B7" s="13" t="n">
        <v>7.56</v>
      </c>
      <c r="C7" s="13" t="n">
        <v>-1.8</v>
      </c>
      <c r="D7" s="13" t="n">
        <v>-2.64</v>
      </c>
      <c r="E7" s="13" t="n">
        <v>-4.16</v>
      </c>
      <c r="F7" s="13" t="n">
        <v>5.44</v>
      </c>
      <c r="G7" s="13" t="n">
        <v>13</v>
      </c>
      <c r="H7" s="13" t="n">
        <v>-8.71</v>
      </c>
      <c r="I7" s="13" t="n">
        <v>-17.68</v>
      </c>
      <c r="J7" s="13" t="n">
        <v>-13.45</v>
      </c>
      <c r="K7" s="13" t="n">
        <v>93.29</v>
      </c>
      <c r="L7" s="13" t="n">
        <v>0.76</v>
      </c>
      <c r="M7" s="13" t="n">
        <v>23.83</v>
      </c>
      <c r="N7" s="13" t="n">
        <v>33.94</v>
      </c>
      <c r="O7" s="13" t="n">
        <v>-10.6</v>
      </c>
      <c r="P7" s="13" t="n">
        <v>33.85</v>
      </c>
      <c r="Q7" s="13" t="n">
        <v>0</v>
      </c>
      <c r="R7" s="13" t="n">
        <v>-20</v>
      </c>
      <c r="S7" s="13" t="n">
        <v>-24.44</v>
      </c>
      <c r="T7" s="13" t="n">
        <v>225</v>
      </c>
      <c r="U7" s="29" t="s">
        <v>472</v>
      </c>
      <c r="V7" s="13" t="n">
        <v>-8.9</v>
      </c>
      <c r="W7" s="13" t="n">
        <v>-8.63</v>
      </c>
      <c r="X7" s="13" t="n">
        <v>-5.27</v>
      </c>
      <c r="Y7" s="13" t="n">
        <v>-26.89</v>
      </c>
      <c r="Z7" s="29" t="s">
        <v>472</v>
      </c>
      <c r="AA7" s="29" t="s">
        <v>472</v>
      </c>
      <c r="AB7" s="29" t="s">
        <v>472</v>
      </c>
      <c r="AC7" s="13" t="n">
        <v>-19.51</v>
      </c>
      <c r="AD7" s="13" t="n">
        <v>23.4</v>
      </c>
      <c r="AE7" s="13" t="n">
        <v>-66.67</v>
      </c>
      <c r="AF7" s="13" t="n">
        <v>0.2</v>
      </c>
      <c r="AG7" s="13" t="n">
        <v>15.26</v>
      </c>
    </row>
    <row r="8" customFormat="false" ht="15" hidden="false" customHeight="false" outlineLevel="0" collapsed="false">
      <c r="A8" s="4" t="s">
        <v>106</v>
      </c>
      <c r="B8" s="13" t="n">
        <v>-23.16</v>
      </c>
      <c r="C8" s="13" t="n">
        <v>3.82</v>
      </c>
      <c r="D8" s="13" t="n">
        <v>-4.8</v>
      </c>
      <c r="E8" s="13" t="n">
        <v>-3.49</v>
      </c>
      <c r="F8" s="13" t="n">
        <v>-13.31</v>
      </c>
      <c r="G8" s="13" t="n">
        <v>-20.5</v>
      </c>
      <c r="H8" s="13" t="n">
        <v>-35.71</v>
      </c>
      <c r="I8" s="13" t="n">
        <v>-5.02</v>
      </c>
      <c r="J8" s="13" t="n">
        <v>4.94</v>
      </c>
      <c r="K8" s="13" t="n">
        <v>5.06</v>
      </c>
      <c r="L8" s="13" t="n">
        <v>-0.62</v>
      </c>
      <c r="M8" s="13" t="n">
        <v>-5.45</v>
      </c>
      <c r="N8" s="13" t="n">
        <v>0.52</v>
      </c>
      <c r="O8" s="13" t="n">
        <v>-24.71</v>
      </c>
      <c r="P8" s="13" t="n">
        <v>-8.11</v>
      </c>
      <c r="Q8" s="13" t="n">
        <v>100</v>
      </c>
      <c r="R8" s="13" t="n">
        <v>200</v>
      </c>
      <c r="S8" s="13" t="n">
        <v>550</v>
      </c>
      <c r="T8" s="13" t="n">
        <v>-42.86</v>
      </c>
      <c r="U8" s="13" t="n">
        <v>-50</v>
      </c>
      <c r="V8" s="13" t="n">
        <v>15.8</v>
      </c>
      <c r="W8" s="13" t="n">
        <v>34.34</v>
      </c>
      <c r="X8" s="13" t="n">
        <v>-25.94</v>
      </c>
      <c r="Y8" s="13" t="n">
        <v>34.88</v>
      </c>
      <c r="Z8" s="13" t="n">
        <v>-100</v>
      </c>
      <c r="AA8" s="29" t="s">
        <v>472</v>
      </c>
      <c r="AB8" s="13" t="n">
        <v>-100</v>
      </c>
      <c r="AC8" s="13" t="n">
        <v>4.53</v>
      </c>
      <c r="AD8" s="13" t="n">
        <v>-5.6</v>
      </c>
      <c r="AE8" s="13" t="n">
        <v>-35.71</v>
      </c>
      <c r="AF8" s="13" t="n">
        <v>1.91</v>
      </c>
      <c r="AG8" s="13" t="n">
        <v>35.91</v>
      </c>
    </row>
    <row r="9" customFormat="false" ht="15" hidden="false" customHeight="false" outlineLevel="0" collapsed="false">
      <c r="A9" s="4" t="s">
        <v>108</v>
      </c>
      <c r="B9" s="13" t="n">
        <v>4.73</v>
      </c>
      <c r="C9" s="13" t="n">
        <v>-1.75</v>
      </c>
      <c r="D9" s="13" t="n">
        <v>-0.76</v>
      </c>
      <c r="E9" s="13" t="n">
        <v>0</v>
      </c>
      <c r="F9" s="13" t="n">
        <v>-4.07</v>
      </c>
      <c r="G9" s="13" t="n">
        <v>13.49</v>
      </c>
      <c r="H9" s="13" t="n">
        <v>-20.57</v>
      </c>
      <c r="I9" s="13" t="n">
        <v>-12.98</v>
      </c>
      <c r="J9" s="13" t="n">
        <v>10.76</v>
      </c>
      <c r="K9" s="13" t="n">
        <v>32.05</v>
      </c>
      <c r="L9" s="13" t="n">
        <v>-15.48</v>
      </c>
      <c r="M9" s="13" t="n">
        <v>25.3</v>
      </c>
      <c r="N9" s="13" t="n">
        <v>36.49</v>
      </c>
      <c r="O9" s="13" t="n">
        <v>-14.95</v>
      </c>
      <c r="P9" s="13" t="n">
        <v>-17.74</v>
      </c>
      <c r="Q9" s="13" t="n">
        <v>275</v>
      </c>
      <c r="R9" s="13" t="n">
        <v>-43.33</v>
      </c>
      <c r="S9" s="13" t="n">
        <v>-52.94</v>
      </c>
      <c r="T9" s="13" t="n">
        <v>300</v>
      </c>
      <c r="U9" s="13" t="n">
        <v>-15.38</v>
      </c>
      <c r="V9" s="13" t="n">
        <v>27.29</v>
      </c>
      <c r="W9" s="13" t="n">
        <v>46.98</v>
      </c>
      <c r="X9" s="13" t="n">
        <v>-23.86</v>
      </c>
      <c r="Y9" s="13" t="n">
        <v>-2.09</v>
      </c>
      <c r="Z9" s="13" t="n">
        <v>-30</v>
      </c>
      <c r="AA9" s="29" t="s">
        <v>472</v>
      </c>
      <c r="AB9" s="13" t="n">
        <v>-7.69</v>
      </c>
      <c r="AC9" s="13" t="n">
        <v>-4.78</v>
      </c>
      <c r="AD9" s="13" t="n">
        <v>-18.99</v>
      </c>
      <c r="AE9" s="13" t="n">
        <v>0</v>
      </c>
      <c r="AF9" s="13" t="n">
        <v>-2.03</v>
      </c>
      <c r="AG9" s="13" t="n">
        <v>-3.39</v>
      </c>
    </row>
    <row r="10" customFormat="false" ht="15" hidden="false" customHeight="false" outlineLevel="0" collapsed="false">
      <c r="A10" s="4" t="s">
        <v>110</v>
      </c>
      <c r="B10" s="13" t="n">
        <v>3.77</v>
      </c>
      <c r="C10" s="13" t="n">
        <v>-4.11</v>
      </c>
      <c r="D10" s="13" t="n">
        <v>-1.61</v>
      </c>
      <c r="E10" s="13" t="n">
        <v>0.57</v>
      </c>
      <c r="F10" s="13" t="n">
        <v>-13.83</v>
      </c>
      <c r="G10" s="13" t="n">
        <v>18.75</v>
      </c>
      <c r="H10" s="13" t="n">
        <v>-25.16</v>
      </c>
      <c r="I10" s="13" t="n">
        <v>22.68</v>
      </c>
      <c r="J10" s="13" t="n">
        <v>-16.09</v>
      </c>
      <c r="K10" s="13" t="n">
        <v>-29.8</v>
      </c>
      <c r="L10" s="13" t="n">
        <v>-21.13</v>
      </c>
      <c r="M10" s="13" t="n">
        <v>29.85</v>
      </c>
      <c r="N10" s="13" t="n">
        <v>37.85</v>
      </c>
      <c r="O10" s="13" t="n">
        <v>0</v>
      </c>
      <c r="P10" s="13" t="n">
        <v>-27.85</v>
      </c>
      <c r="Q10" s="13" t="n">
        <v>80</v>
      </c>
      <c r="R10" s="13" t="n">
        <v>16.22</v>
      </c>
      <c r="S10" s="13" t="n">
        <v>15</v>
      </c>
      <c r="T10" s="13" t="n">
        <v>133.33</v>
      </c>
      <c r="U10" s="13" t="n">
        <v>1000</v>
      </c>
      <c r="V10" s="13" t="n">
        <v>-11.68</v>
      </c>
      <c r="W10" s="13" t="n">
        <v>-11.67</v>
      </c>
      <c r="X10" s="13" t="n">
        <v>-9.07</v>
      </c>
      <c r="Y10" s="13" t="n">
        <v>-1.45</v>
      </c>
      <c r="Z10" s="13" t="n">
        <v>516</v>
      </c>
      <c r="AA10" s="29" t="s">
        <v>472</v>
      </c>
      <c r="AB10" s="13" t="n">
        <v>-50</v>
      </c>
      <c r="AC10" s="13" t="n">
        <v>17.27</v>
      </c>
      <c r="AD10" s="13" t="n">
        <v>11.14</v>
      </c>
      <c r="AE10" s="13" t="n">
        <v>250</v>
      </c>
      <c r="AF10" s="13" t="n">
        <v>-22.43</v>
      </c>
      <c r="AG10" s="13" t="n">
        <v>-24.39</v>
      </c>
    </row>
    <row r="11" customFormat="false" ht="15" hidden="false" customHeight="false" outlineLevel="0" collapsed="false">
      <c r="A11" s="4" t="s">
        <v>112</v>
      </c>
      <c r="B11" s="13" t="n">
        <v>-10.16</v>
      </c>
      <c r="C11" s="13" t="n">
        <v>-0.24</v>
      </c>
      <c r="D11" s="13" t="n">
        <v>1.63</v>
      </c>
      <c r="E11" s="13" t="n">
        <v>2.89</v>
      </c>
      <c r="F11" s="13" t="n">
        <v>-4.05</v>
      </c>
      <c r="G11" s="13" t="n">
        <v>-14.16</v>
      </c>
      <c r="H11" s="13" t="n">
        <v>4.56</v>
      </c>
      <c r="I11" s="13" t="n">
        <v>10.63</v>
      </c>
      <c r="J11" s="13" t="n">
        <v>6.37</v>
      </c>
      <c r="K11" s="13" t="n">
        <v>-22.57</v>
      </c>
      <c r="L11" s="13" t="n">
        <v>-20.48</v>
      </c>
      <c r="M11" s="13" t="n">
        <v>15.9</v>
      </c>
      <c r="N11" s="13" t="n">
        <v>16.74</v>
      </c>
      <c r="O11" s="13" t="n">
        <v>14.56</v>
      </c>
      <c r="P11" s="13" t="n">
        <v>-31.03</v>
      </c>
      <c r="Q11" s="13" t="n">
        <v>42.86</v>
      </c>
      <c r="R11" s="13" t="n">
        <v>68.75</v>
      </c>
      <c r="S11" s="13" t="n">
        <v>73.53</v>
      </c>
      <c r="T11" s="13" t="n">
        <v>23.08</v>
      </c>
      <c r="U11" s="13" t="n">
        <v>-64.29</v>
      </c>
      <c r="V11" s="13" t="n">
        <v>-9.27</v>
      </c>
      <c r="W11" s="13" t="n">
        <v>1.94</v>
      </c>
      <c r="X11" s="13" t="n">
        <v>-35.99</v>
      </c>
      <c r="Y11" s="13" t="n">
        <v>10.35</v>
      </c>
      <c r="Z11" s="29" t="s">
        <v>472</v>
      </c>
      <c r="AA11" s="29" t="s">
        <v>472</v>
      </c>
      <c r="AB11" s="29" t="s">
        <v>472</v>
      </c>
      <c r="AC11" s="13" t="n">
        <v>3.03</v>
      </c>
      <c r="AD11" s="13" t="n">
        <v>-21.65</v>
      </c>
      <c r="AE11" s="13" t="n">
        <v>100</v>
      </c>
      <c r="AF11" s="13" t="n">
        <v>8.25</v>
      </c>
      <c r="AG11" s="13" t="n">
        <v>-10.59</v>
      </c>
    </row>
    <row r="12" customFormat="false" ht="15" hidden="false" customHeight="false" outlineLevel="0" collapsed="false">
      <c r="A12" s="4" t="s">
        <v>113</v>
      </c>
      <c r="B12" s="13" t="n">
        <v>-33.82</v>
      </c>
      <c r="C12" s="13" t="n">
        <v>2.49</v>
      </c>
      <c r="D12" s="13" t="n">
        <v>-5.54</v>
      </c>
      <c r="E12" s="13" t="n">
        <v>-8.79</v>
      </c>
      <c r="F12" s="13" t="n">
        <v>15.99</v>
      </c>
      <c r="G12" s="13" t="n">
        <v>-43.75</v>
      </c>
      <c r="H12" s="13" t="n">
        <v>16.16</v>
      </c>
      <c r="I12" s="13" t="n">
        <v>5.29</v>
      </c>
      <c r="J12" s="13" t="n">
        <v>-6.18</v>
      </c>
      <c r="K12" s="13" t="n">
        <v>-2.67</v>
      </c>
      <c r="L12" s="13" t="n">
        <v>-27.35</v>
      </c>
      <c r="M12" s="13" t="n">
        <v>29.33</v>
      </c>
      <c r="N12" s="13" t="n">
        <v>30.93</v>
      </c>
      <c r="O12" s="13" t="n">
        <v>20.94</v>
      </c>
      <c r="P12" s="13" t="n">
        <v>-38.24</v>
      </c>
      <c r="Q12" s="13" t="n">
        <v>75</v>
      </c>
      <c r="R12" s="13" t="n">
        <v>158.33</v>
      </c>
      <c r="S12" s="13" t="n">
        <v>138.46</v>
      </c>
      <c r="T12" s="13" t="n">
        <v>300</v>
      </c>
      <c r="U12" s="13" t="n">
        <v>0</v>
      </c>
      <c r="V12" s="13" t="n">
        <v>-18.57</v>
      </c>
      <c r="W12" s="13" t="n">
        <v>-7.17</v>
      </c>
      <c r="X12" s="13" t="n">
        <v>-46.12</v>
      </c>
      <c r="Y12" s="13" t="n">
        <v>-19.35</v>
      </c>
      <c r="Z12" s="29" t="s">
        <v>472</v>
      </c>
      <c r="AA12" s="29" t="s">
        <v>472</v>
      </c>
      <c r="AB12" s="29" t="s">
        <v>472</v>
      </c>
      <c r="AC12" s="13" t="n">
        <v>3.61</v>
      </c>
      <c r="AD12" s="13" t="n">
        <v>-7.73</v>
      </c>
      <c r="AE12" s="13" t="n">
        <v>-50</v>
      </c>
      <c r="AF12" s="13" t="n">
        <v>11.8</v>
      </c>
      <c r="AG12" s="13" t="n">
        <v>-14.49</v>
      </c>
    </row>
    <row r="13" customFormat="false" ht="15" hidden="false" customHeight="false" outlineLevel="0" collapsed="false">
      <c r="A13" s="4" t="s">
        <v>114</v>
      </c>
      <c r="B13" s="13" t="n">
        <v>-1.94</v>
      </c>
      <c r="C13" s="13" t="n">
        <v>0.51</v>
      </c>
      <c r="D13" s="13" t="n">
        <v>7.16</v>
      </c>
      <c r="E13" s="13" t="n">
        <v>9.6</v>
      </c>
      <c r="F13" s="13" t="n">
        <v>-7.9</v>
      </c>
      <c r="G13" s="13" t="n">
        <v>-1.4</v>
      </c>
      <c r="H13" s="13" t="n">
        <v>-4.38</v>
      </c>
      <c r="I13" s="13" t="n">
        <v>-0.78</v>
      </c>
      <c r="J13" s="13" t="n">
        <v>11.15</v>
      </c>
      <c r="K13" s="13" t="n">
        <v>-13.11</v>
      </c>
      <c r="L13" s="13" t="n">
        <v>-9.77</v>
      </c>
      <c r="M13" s="13" t="n">
        <v>-4.81</v>
      </c>
      <c r="N13" s="13" t="n">
        <v>-5.61</v>
      </c>
      <c r="O13" s="13" t="n">
        <v>-0.78</v>
      </c>
      <c r="P13" s="13" t="n">
        <v>-26.14</v>
      </c>
      <c r="Q13" s="13" t="n">
        <v>-16.67</v>
      </c>
      <c r="R13" s="13" t="n">
        <v>29.41</v>
      </c>
      <c r="S13" s="13" t="n">
        <v>50</v>
      </c>
      <c r="T13" s="13" t="n">
        <v>-55</v>
      </c>
      <c r="U13" s="13" t="n">
        <v>-9.09</v>
      </c>
      <c r="V13" s="13" t="n">
        <v>-75.84</v>
      </c>
      <c r="W13" s="13" t="n">
        <v>-80.06</v>
      </c>
      <c r="X13" s="13" t="n">
        <v>-50.31</v>
      </c>
      <c r="Y13" s="13" t="n">
        <v>-42.65</v>
      </c>
      <c r="Z13" s="13" t="n">
        <v>-28.57</v>
      </c>
      <c r="AA13" s="29" t="s">
        <v>472</v>
      </c>
      <c r="AB13" s="13" t="n">
        <v>-19.44</v>
      </c>
      <c r="AC13" s="13" t="n">
        <v>11.11</v>
      </c>
      <c r="AD13" s="13" t="n">
        <v>-27.75</v>
      </c>
      <c r="AE13" s="13" t="n">
        <v>-30.77</v>
      </c>
      <c r="AF13" s="13" t="n">
        <v>-1.89</v>
      </c>
      <c r="AG13" s="13" t="n">
        <v>-19.87</v>
      </c>
    </row>
    <row r="14" customFormat="false" ht="15" hidden="false" customHeight="false" outlineLevel="0" collapsed="false">
      <c r="A14" s="4" t="s">
        <v>116</v>
      </c>
      <c r="B14" s="13" t="n">
        <v>44.55</v>
      </c>
      <c r="C14" s="13" t="n">
        <v>-2.33</v>
      </c>
      <c r="D14" s="13" t="n">
        <v>9.84</v>
      </c>
      <c r="E14" s="13" t="n">
        <v>10.57</v>
      </c>
      <c r="F14" s="13" t="n">
        <v>6.58</v>
      </c>
      <c r="G14" s="13" t="n">
        <v>54.74</v>
      </c>
      <c r="H14" s="13" t="n">
        <v>7.42</v>
      </c>
      <c r="I14" s="13" t="n">
        <v>-16.64</v>
      </c>
      <c r="J14" s="13" t="n">
        <v>9.4</v>
      </c>
      <c r="K14" s="13" t="n">
        <v>53.24</v>
      </c>
      <c r="L14" s="13" t="n">
        <v>-2.85</v>
      </c>
      <c r="M14" s="13" t="n">
        <v>6.13</v>
      </c>
      <c r="N14" s="13" t="n">
        <v>7.38</v>
      </c>
      <c r="O14" s="13" t="n">
        <v>1.8</v>
      </c>
      <c r="P14" s="13" t="n">
        <v>-14.04</v>
      </c>
      <c r="Q14" s="13" t="n">
        <v>200</v>
      </c>
      <c r="R14" s="13" t="n">
        <v>-62.79</v>
      </c>
      <c r="S14" s="13" t="n">
        <v>-67.39</v>
      </c>
      <c r="T14" s="13" t="n">
        <v>-9.52</v>
      </c>
      <c r="U14" s="13" t="n">
        <v>-90.91</v>
      </c>
      <c r="V14" s="13" t="n">
        <v>-62.77</v>
      </c>
      <c r="W14" s="13" t="n">
        <v>-69.5</v>
      </c>
      <c r="X14" s="13" t="n">
        <v>-33.9</v>
      </c>
      <c r="Y14" s="13" t="n">
        <v>-49.68</v>
      </c>
      <c r="Z14" s="13" t="n">
        <v>-96.1</v>
      </c>
      <c r="AA14" s="13" t="n">
        <v>-100</v>
      </c>
      <c r="AB14" s="13" t="n">
        <v>-16.22</v>
      </c>
      <c r="AC14" s="13" t="n">
        <v>1.16</v>
      </c>
      <c r="AD14" s="13" t="n">
        <v>-28.46</v>
      </c>
      <c r="AE14" s="13" t="n">
        <v>157.14</v>
      </c>
      <c r="AF14" s="13" t="n">
        <v>12.32</v>
      </c>
      <c r="AG14" s="13" t="n">
        <v>-6.83</v>
      </c>
    </row>
    <row r="15" customFormat="false" ht="15" hidden="false" customHeight="false" outlineLevel="0" collapsed="false">
      <c r="A15" s="4" t="s">
        <v>117</v>
      </c>
      <c r="B15" s="13" t="n">
        <v>43.48</v>
      </c>
      <c r="C15" s="13" t="n">
        <v>-4.9</v>
      </c>
      <c r="D15" s="13" t="n">
        <v>1.07</v>
      </c>
      <c r="E15" s="13" t="n">
        <v>3.93</v>
      </c>
      <c r="F15" s="13" t="n">
        <v>-13.44</v>
      </c>
      <c r="G15" s="13" t="n">
        <v>63.92</v>
      </c>
      <c r="H15" s="13" t="n">
        <v>-15.48</v>
      </c>
      <c r="I15" s="13" t="n">
        <v>8.24</v>
      </c>
      <c r="J15" s="13" t="n">
        <v>-15.73</v>
      </c>
      <c r="K15" s="13" t="n">
        <v>0</v>
      </c>
      <c r="L15" s="13" t="n">
        <v>-7.15</v>
      </c>
      <c r="M15" s="13" t="n">
        <v>4.33</v>
      </c>
      <c r="N15" s="13" t="n">
        <v>8.91</v>
      </c>
      <c r="O15" s="13" t="n">
        <v>-18.12</v>
      </c>
      <c r="P15" s="13" t="n">
        <v>-30.83</v>
      </c>
      <c r="Q15" s="13" t="n">
        <v>230</v>
      </c>
      <c r="R15" s="13" t="n">
        <v>-74.07</v>
      </c>
      <c r="S15" s="13" t="n">
        <v>-74.58</v>
      </c>
      <c r="T15" s="13" t="n">
        <v>-50</v>
      </c>
      <c r="U15" s="13" t="n">
        <v>120</v>
      </c>
      <c r="V15" s="13" t="n">
        <v>-34.25</v>
      </c>
      <c r="W15" s="13" t="n">
        <v>-34.33</v>
      </c>
      <c r="X15" s="13" t="n">
        <v>-36.23</v>
      </c>
      <c r="Y15" s="13" t="n">
        <v>-10.12</v>
      </c>
      <c r="Z15" s="13" t="n">
        <v>137.04</v>
      </c>
      <c r="AA15" s="13" t="n">
        <v>102.78</v>
      </c>
      <c r="AB15" s="29" t="s">
        <v>472</v>
      </c>
      <c r="AC15" s="13" t="n">
        <v>-7.56</v>
      </c>
      <c r="AD15" s="13" t="n">
        <v>-9.54</v>
      </c>
      <c r="AE15" s="13" t="n">
        <v>62.5</v>
      </c>
      <c r="AF15" s="13" t="n">
        <v>-14.7</v>
      </c>
      <c r="AG15" s="13" t="n">
        <v>-17.07</v>
      </c>
    </row>
    <row r="16" customFormat="false" ht="15" hidden="false" customHeight="false" outlineLevel="0" collapsed="false">
      <c r="A16" s="4" t="s">
        <v>118</v>
      </c>
      <c r="B16" s="13" t="n">
        <v>53.33</v>
      </c>
      <c r="C16" s="13" t="n">
        <v>-8.11</v>
      </c>
      <c r="D16" s="13" t="n">
        <v>-1.07</v>
      </c>
      <c r="E16" s="13" t="n">
        <v>4.53</v>
      </c>
      <c r="F16" s="13" t="n">
        <v>-28.49</v>
      </c>
      <c r="G16" s="13" t="n">
        <v>80.56</v>
      </c>
      <c r="H16" s="13" t="n">
        <v>-10.87</v>
      </c>
      <c r="I16" s="13" t="n">
        <v>23.09</v>
      </c>
      <c r="J16" s="13" t="n">
        <v>-26.65</v>
      </c>
      <c r="K16" s="13" t="n">
        <v>-15.93</v>
      </c>
      <c r="L16" s="13" t="n">
        <v>3.58</v>
      </c>
      <c r="M16" s="13" t="n">
        <v>4.83</v>
      </c>
      <c r="N16" s="13" t="n">
        <v>7.87</v>
      </c>
      <c r="O16" s="13" t="n">
        <v>-10.85</v>
      </c>
      <c r="P16" s="13" t="n">
        <v>-7.62</v>
      </c>
      <c r="Q16" s="13" t="n">
        <v>121.43</v>
      </c>
      <c r="R16" s="13" t="n">
        <v>12.9</v>
      </c>
      <c r="S16" s="13" t="n">
        <v>16.13</v>
      </c>
      <c r="T16" s="13" t="n">
        <v>-21.88</v>
      </c>
      <c r="U16" s="13" t="n">
        <v>50</v>
      </c>
      <c r="V16" s="13" t="n">
        <v>-34.89</v>
      </c>
      <c r="W16" s="13" t="n">
        <v>-38.65</v>
      </c>
      <c r="X16" s="13" t="n">
        <v>-35.8</v>
      </c>
      <c r="Y16" s="13" t="n">
        <v>-16.39</v>
      </c>
      <c r="Z16" s="13" t="n">
        <v>-24.14</v>
      </c>
      <c r="AA16" s="13" t="n">
        <v>-7.02</v>
      </c>
      <c r="AB16" s="13" t="n">
        <v>-100</v>
      </c>
      <c r="AC16" s="13" t="n">
        <v>-29.27</v>
      </c>
      <c r="AD16" s="13" t="n">
        <v>-12.01</v>
      </c>
      <c r="AE16" s="13" t="n">
        <v>77.78</v>
      </c>
      <c r="AF16" s="13" t="n">
        <v>-19.6</v>
      </c>
      <c r="AG16" s="13" t="n">
        <v>-20.43</v>
      </c>
    </row>
    <row r="17" customFormat="false" ht="15" hidden="false" customHeight="false" outlineLevel="0" collapsed="false">
      <c r="A17" s="4" t="s">
        <v>119</v>
      </c>
      <c r="B17" s="13" t="n">
        <v>4.61</v>
      </c>
      <c r="C17" s="13" t="n">
        <v>1.14</v>
      </c>
      <c r="D17" s="13" t="n">
        <v>-12.17</v>
      </c>
      <c r="E17" s="13" t="n">
        <v>-13.14</v>
      </c>
      <c r="F17" s="13" t="n">
        <v>-6.28</v>
      </c>
      <c r="G17" s="13" t="n">
        <v>8.51</v>
      </c>
      <c r="H17" s="13" t="n">
        <v>-17.08</v>
      </c>
      <c r="I17" s="13" t="n">
        <v>12.7</v>
      </c>
      <c r="J17" s="13" t="n">
        <v>-17.8</v>
      </c>
      <c r="K17" s="13" t="n">
        <v>-5.59</v>
      </c>
      <c r="L17" s="13" t="n">
        <v>3.55</v>
      </c>
      <c r="M17" s="13" t="n">
        <v>-10.77</v>
      </c>
      <c r="N17" s="13" t="n">
        <v>-10.84</v>
      </c>
      <c r="O17" s="13" t="n">
        <v>-9.11</v>
      </c>
      <c r="P17" s="13" t="n">
        <v>-15.04</v>
      </c>
      <c r="Q17" s="13" t="n">
        <v>-32</v>
      </c>
      <c r="R17" s="13" t="n">
        <v>-9.09</v>
      </c>
      <c r="S17" s="13" t="n">
        <v>-12.5</v>
      </c>
      <c r="T17" s="13" t="n">
        <v>44.44</v>
      </c>
      <c r="U17" s="13" t="n">
        <v>-60</v>
      </c>
      <c r="V17" s="13" t="n">
        <v>91.39</v>
      </c>
      <c r="W17" s="13" t="n">
        <v>130.53</v>
      </c>
      <c r="X17" s="13" t="n">
        <v>-11.62</v>
      </c>
      <c r="Y17" s="13" t="n">
        <v>35.54</v>
      </c>
      <c r="Z17" s="13" t="n">
        <v>1000</v>
      </c>
      <c r="AA17" s="29" t="s">
        <v>472</v>
      </c>
      <c r="AB17" s="13" t="n">
        <v>3.45</v>
      </c>
      <c r="AC17" s="13" t="n">
        <v>-30.65</v>
      </c>
      <c r="AD17" s="13" t="n">
        <v>23.18</v>
      </c>
      <c r="AE17" s="13" t="n">
        <v>0</v>
      </c>
      <c r="AF17" s="13" t="n">
        <v>6.54</v>
      </c>
      <c r="AG17" s="13" t="n">
        <v>1.46</v>
      </c>
    </row>
    <row r="18" customFormat="false" ht="15" hidden="false" customHeight="false" outlineLevel="0" collapsed="false">
      <c r="A18" s="4" t="s">
        <v>121</v>
      </c>
      <c r="B18" s="13" t="n">
        <v>-6.92</v>
      </c>
      <c r="C18" s="13" t="n">
        <v>2.38</v>
      </c>
      <c r="D18" s="13" t="n">
        <v>-6.97</v>
      </c>
      <c r="E18" s="13" t="n">
        <v>-5.43</v>
      </c>
      <c r="F18" s="13" t="n">
        <v>-16.22</v>
      </c>
      <c r="G18" s="13" t="n">
        <v>-4.76</v>
      </c>
      <c r="H18" s="13" t="n">
        <v>-12.2</v>
      </c>
      <c r="I18" s="13" t="n">
        <v>15.32</v>
      </c>
      <c r="J18" s="13" t="n">
        <v>-11</v>
      </c>
      <c r="K18" s="13" t="n">
        <v>-20.66</v>
      </c>
      <c r="L18" s="13" t="n">
        <v>-3.1</v>
      </c>
      <c r="M18" s="13" t="n">
        <v>4.33</v>
      </c>
      <c r="N18" s="13" t="n">
        <v>5.73</v>
      </c>
      <c r="O18" s="13" t="n">
        <v>-2.53</v>
      </c>
      <c r="P18" s="13" t="n">
        <v>11.22</v>
      </c>
      <c r="Q18" s="13" t="n">
        <v>-18.52</v>
      </c>
      <c r="R18" s="13" t="n">
        <v>-62.5</v>
      </c>
      <c r="S18" s="13" t="n">
        <v>-60</v>
      </c>
      <c r="T18" s="13" t="n">
        <v>-84.21</v>
      </c>
      <c r="U18" s="13" t="n">
        <v>350</v>
      </c>
      <c r="V18" s="13" t="n">
        <v>128.1</v>
      </c>
      <c r="W18" s="13" t="n">
        <v>188.66</v>
      </c>
      <c r="X18" s="13" t="n">
        <v>10.34</v>
      </c>
      <c r="Y18" s="13" t="n">
        <v>56.07</v>
      </c>
      <c r="Z18" s="13" t="n">
        <v>166.67</v>
      </c>
      <c r="AA18" s="29" t="s">
        <v>472</v>
      </c>
      <c r="AB18" s="13" t="n">
        <v>-6.45</v>
      </c>
      <c r="AC18" s="13" t="n">
        <v>-25.67</v>
      </c>
      <c r="AD18" s="13" t="n">
        <v>24.24</v>
      </c>
      <c r="AE18" s="13" t="n">
        <v>-55.56</v>
      </c>
      <c r="AF18" s="13" t="n">
        <v>7.17</v>
      </c>
      <c r="AG18" s="13" t="n">
        <v>-2.65</v>
      </c>
    </row>
    <row r="19" customFormat="false" ht="15" hidden="false" customHeight="false" outlineLevel="0" collapsed="false">
      <c r="A19" s="4" t="s">
        <v>123</v>
      </c>
      <c r="B19" s="13" t="n">
        <v>-7.88</v>
      </c>
      <c r="C19" s="13" t="n">
        <v>3.73</v>
      </c>
      <c r="D19" s="13" t="n">
        <v>-4.22</v>
      </c>
      <c r="E19" s="13" t="n">
        <v>-4.05</v>
      </c>
      <c r="F19" s="13" t="n">
        <v>-5.99</v>
      </c>
      <c r="G19" s="13" t="n">
        <v>-9.43</v>
      </c>
      <c r="H19" s="13" t="n">
        <v>-1.88</v>
      </c>
      <c r="I19" s="13" t="n">
        <v>7.61</v>
      </c>
      <c r="J19" s="13" t="n">
        <v>-1.33</v>
      </c>
      <c r="K19" s="13" t="n">
        <v>-17.49</v>
      </c>
      <c r="L19" s="13" t="n">
        <v>-0.51</v>
      </c>
      <c r="M19" s="13" t="n">
        <v>1.38</v>
      </c>
      <c r="N19" s="13" t="n">
        <v>2.14</v>
      </c>
      <c r="O19" s="13" t="n">
        <v>-0.86</v>
      </c>
      <c r="P19" s="13" t="n">
        <v>60.24</v>
      </c>
      <c r="Q19" s="13" t="n">
        <v>-15.15</v>
      </c>
      <c r="R19" s="13" t="n">
        <v>-7.14</v>
      </c>
      <c r="S19" s="13" t="n">
        <v>-6.67</v>
      </c>
      <c r="T19" s="13" t="n">
        <v>0</v>
      </c>
      <c r="U19" s="13" t="n">
        <v>-90.91</v>
      </c>
      <c r="V19" s="13" t="n">
        <v>63.45</v>
      </c>
      <c r="W19" s="13" t="n">
        <v>72.2</v>
      </c>
      <c r="X19" s="13" t="n">
        <v>13.18</v>
      </c>
      <c r="Y19" s="13" t="n">
        <v>15.38</v>
      </c>
      <c r="Z19" s="13" t="n">
        <v>70.31</v>
      </c>
      <c r="AA19" s="13" t="n">
        <v>72.6</v>
      </c>
      <c r="AB19" s="13" t="n">
        <v>81.82</v>
      </c>
      <c r="AC19" s="13" t="n">
        <v>1.36</v>
      </c>
      <c r="AD19" s="13" t="n">
        <v>-9.46</v>
      </c>
      <c r="AE19" s="13" t="n">
        <v>-23.08</v>
      </c>
      <c r="AF19" s="13" t="n">
        <v>10.21</v>
      </c>
      <c r="AG19" s="13" t="n">
        <v>2.73</v>
      </c>
    </row>
    <row r="20" customFormat="false" ht="15" hidden="false" customHeight="false" outlineLevel="0" collapsed="false">
      <c r="A20" s="4" t="s">
        <v>124</v>
      </c>
      <c r="B20" s="13" t="n">
        <v>13.04</v>
      </c>
      <c r="C20" s="13" t="n">
        <v>3.15</v>
      </c>
      <c r="D20" s="13" t="n">
        <v>9.43</v>
      </c>
      <c r="E20" s="13" t="n">
        <v>8.67</v>
      </c>
      <c r="F20" s="13" t="n">
        <v>13.88</v>
      </c>
      <c r="G20" s="13" t="n">
        <v>17.69</v>
      </c>
      <c r="H20" s="13" t="n">
        <v>-9.27</v>
      </c>
      <c r="I20" s="13" t="n">
        <v>-8.48</v>
      </c>
      <c r="J20" s="13" t="n">
        <v>24.36</v>
      </c>
      <c r="K20" s="13" t="n">
        <v>-3.27</v>
      </c>
      <c r="L20" s="13" t="n">
        <v>6.74</v>
      </c>
      <c r="M20" s="13" t="n">
        <v>14.54</v>
      </c>
      <c r="N20" s="13" t="n">
        <v>16.42</v>
      </c>
      <c r="O20" s="13" t="n">
        <v>2.9</v>
      </c>
      <c r="P20" s="13" t="n">
        <v>52.58</v>
      </c>
      <c r="Q20" s="13" t="n">
        <v>-54.84</v>
      </c>
      <c r="R20" s="13" t="n">
        <v>-71.43</v>
      </c>
      <c r="S20" s="13" t="n">
        <v>-72.22</v>
      </c>
      <c r="T20" s="13" t="n">
        <v>-52</v>
      </c>
      <c r="U20" s="13" t="n">
        <v>-33.33</v>
      </c>
      <c r="V20" s="13" t="n">
        <v>21.1</v>
      </c>
      <c r="W20" s="13" t="n">
        <v>12.99</v>
      </c>
      <c r="X20" s="13" t="n">
        <v>87.82</v>
      </c>
      <c r="Y20" s="13" t="n">
        <v>-19.89</v>
      </c>
      <c r="Z20" s="13" t="n">
        <v>156.82</v>
      </c>
      <c r="AA20" s="13" t="n">
        <v>137.74</v>
      </c>
      <c r="AB20" s="29" t="s">
        <v>472</v>
      </c>
      <c r="AC20" s="13" t="n">
        <v>24.14</v>
      </c>
      <c r="AD20" s="13" t="n">
        <v>-6.67</v>
      </c>
      <c r="AE20" s="13" t="n">
        <v>0</v>
      </c>
      <c r="AF20" s="13" t="n">
        <v>9.38</v>
      </c>
      <c r="AG20" s="13" t="n">
        <v>2.3</v>
      </c>
    </row>
    <row r="21" customFormat="false" ht="15" hidden="false" customHeight="false" outlineLevel="0" collapsed="false">
      <c r="A21" s="4" t="s">
        <v>125</v>
      </c>
      <c r="B21" s="13" t="n">
        <v>5.03</v>
      </c>
      <c r="C21" s="13" t="n">
        <v>-1.37</v>
      </c>
      <c r="D21" s="13" t="n">
        <v>7.34</v>
      </c>
      <c r="E21" s="13" t="n">
        <v>8.12</v>
      </c>
      <c r="F21" s="13" t="n">
        <v>3.79</v>
      </c>
      <c r="G21" s="13" t="n">
        <v>6.54</v>
      </c>
      <c r="H21" s="13" t="n">
        <v>1.51</v>
      </c>
      <c r="I21" s="13" t="n">
        <v>-1.91</v>
      </c>
      <c r="J21" s="13" t="n">
        <v>-5.12</v>
      </c>
      <c r="K21" s="13" t="n">
        <v>14.2</v>
      </c>
      <c r="L21" s="13" t="n">
        <v>5.23</v>
      </c>
      <c r="M21" s="13" t="n">
        <v>15.09</v>
      </c>
      <c r="N21" s="13" t="n">
        <v>16.08</v>
      </c>
      <c r="O21" s="13" t="n">
        <v>5.73</v>
      </c>
      <c r="P21" s="13" t="n">
        <v>7.29</v>
      </c>
      <c r="Q21" s="13" t="n">
        <v>52.94</v>
      </c>
      <c r="R21" s="13" t="n">
        <v>-20</v>
      </c>
      <c r="S21" s="13" t="n">
        <v>-23.81</v>
      </c>
      <c r="T21" s="13" t="n">
        <v>-23.08</v>
      </c>
      <c r="U21" s="13" t="n">
        <v>-50</v>
      </c>
      <c r="V21" s="13" t="n">
        <v>-7.27</v>
      </c>
      <c r="W21" s="13" t="n">
        <v>-14.24</v>
      </c>
      <c r="X21" s="13" t="n">
        <v>53.52</v>
      </c>
      <c r="Y21" s="13" t="n">
        <v>-21.34</v>
      </c>
      <c r="Z21" s="13" t="n">
        <v>-41.82</v>
      </c>
      <c r="AA21" s="13" t="n">
        <v>-47.46</v>
      </c>
      <c r="AB21" s="13" t="n">
        <v>13.33</v>
      </c>
      <c r="AC21" s="13" t="n">
        <v>7.44</v>
      </c>
      <c r="AD21" s="13" t="n">
        <v>1.08</v>
      </c>
      <c r="AE21" s="13" t="n">
        <v>11.11</v>
      </c>
      <c r="AF21" s="13" t="n">
        <v>-3.43</v>
      </c>
      <c r="AG21" s="13" t="n">
        <v>-2.05</v>
      </c>
    </row>
    <row r="22" customFormat="false" ht="15" hidden="false" customHeight="false" outlineLevel="0" collapsed="false">
      <c r="A22" s="4" t="s">
        <v>129</v>
      </c>
      <c r="B22" s="13" t="n">
        <v>-15.54</v>
      </c>
      <c r="C22" s="13" t="n">
        <v>2.33</v>
      </c>
      <c r="D22" s="13" t="n">
        <v>7.22</v>
      </c>
      <c r="E22" s="13" t="n">
        <v>7.38</v>
      </c>
      <c r="F22" s="13" t="n">
        <v>6.45</v>
      </c>
      <c r="G22" s="13" t="n">
        <v>-20</v>
      </c>
      <c r="H22" s="13" t="n">
        <v>2.78</v>
      </c>
      <c r="I22" s="13" t="n">
        <v>1.57</v>
      </c>
      <c r="J22" s="13" t="n">
        <v>-6.95</v>
      </c>
      <c r="K22" s="13" t="n">
        <v>5.33</v>
      </c>
      <c r="L22" s="13" t="n">
        <v>5.39</v>
      </c>
      <c r="M22" s="13" t="n">
        <v>-4.15</v>
      </c>
      <c r="N22" s="13" t="n">
        <v>-4.33</v>
      </c>
      <c r="O22" s="13" t="n">
        <v>-4.68</v>
      </c>
      <c r="P22" s="13" t="n">
        <v>11.01</v>
      </c>
      <c r="Q22" s="13" t="n">
        <v>50</v>
      </c>
      <c r="R22" s="13" t="n">
        <v>-16.67</v>
      </c>
      <c r="S22" s="13" t="n">
        <v>-16.67</v>
      </c>
      <c r="T22" s="13" t="n">
        <v>133.33</v>
      </c>
      <c r="U22" s="13" t="n">
        <v>-77.78</v>
      </c>
      <c r="V22" s="13" t="n">
        <v>1.45</v>
      </c>
      <c r="W22" s="13" t="n">
        <v>-12.86</v>
      </c>
      <c r="X22" s="13" t="n">
        <v>64.84</v>
      </c>
      <c r="Y22" s="13" t="n">
        <v>-6.97</v>
      </c>
      <c r="Z22" s="13" t="n">
        <v>-75</v>
      </c>
      <c r="AA22" s="13" t="n">
        <v>-100</v>
      </c>
      <c r="AB22" s="13" t="n">
        <v>-24.14</v>
      </c>
      <c r="AC22" s="13" t="n">
        <v>24.74</v>
      </c>
      <c r="AD22" s="13" t="n">
        <v>23.48</v>
      </c>
      <c r="AE22" s="13" t="n">
        <v>175</v>
      </c>
      <c r="AF22" s="13" t="n">
        <v>-1.38</v>
      </c>
      <c r="AG22" s="13" t="n">
        <v>3.14</v>
      </c>
    </row>
    <row r="23" customFormat="false" ht="15" hidden="false" customHeight="false" outlineLevel="0" collapsed="false">
      <c r="A23" s="4" t="s">
        <v>130</v>
      </c>
      <c r="B23" s="13" t="n">
        <v>0</v>
      </c>
      <c r="C23" s="13" t="n">
        <v>-1.36</v>
      </c>
      <c r="D23" s="13" t="n">
        <v>9.92</v>
      </c>
      <c r="E23" s="13" t="n">
        <v>9.58</v>
      </c>
      <c r="F23" s="13" t="n">
        <v>12.03</v>
      </c>
      <c r="G23" s="13" t="n">
        <v>0</v>
      </c>
      <c r="H23" s="13" t="n">
        <v>0</v>
      </c>
      <c r="I23" s="13" t="n">
        <v>-8.25</v>
      </c>
      <c r="J23" s="13" t="n">
        <v>20.72</v>
      </c>
      <c r="K23" s="13" t="n">
        <v>1.63</v>
      </c>
      <c r="L23" s="13" t="n">
        <v>0.52</v>
      </c>
      <c r="M23" s="13" t="n">
        <v>-4.44</v>
      </c>
      <c r="N23" s="13" t="n">
        <v>-5.57</v>
      </c>
      <c r="O23" s="13" t="n">
        <v>2.03</v>
      </c>
      <c r="P23" s="13" t="n">
        <v>-7.52</v>
      </c>
      <c r="Q23" s="13" t="n">
        <v>10.71</v>
      </c>
      <c r="R23" s="13" t="n">
        <v>-30.77</v>
      </c>
      <c r="S23" s="13" t="n">
        <v>-42.86</v>
      </c>
      <c r="T23" s="13" t="n">
        <v>100</v>
      </c>
      <c r="U23" s="13" t="n">
        <v>1300</v>
      </c>
      <c r="V23" s="13" t="n">
        <v>5.66</v>
      </c>
      <c r="W23" s="13" t="n">
        <v>-2.65</v>
      </c>
      <c r="X23" s="13" t="n">
        <v>79.52</v>
      </c>
      <c r="Y23" s="13" t="n">
        <v>-3.57</v>
      </c>
      <c r="Z23" s="13" t="n">
        <v>-50.46</v>
      </c>
      <c r="AA23" s="13" t="n">
        <v>-53.17</v>
      </c>
      <c r="AB23" s="13" t="n">
        <v>50</v>
      </c>
      <c r="AC23" s="13" t="n">
        <v>15.25</v>
      </c>
      <c r="AD23" s="13" t="n">
        <v>11.04</v>
      </c>
      <c r="AE23" s="13" t="n">
        <v>-20</v>
      </c>
      <c r="AF23" s="13" t="n">
        <v>5.41</v>
      </c>
      <c r="AG23" s="13" t="n">
        <v>18.81</v>
      </c>
    </row>
    <row r="24" customFormat="false" ht="15" hidden="false" customHeight="false" outlineLevel="0" collapsed="false">
      <c r="A24" s="4" t="s">
        <v>131</v>
      </c>
      <c r="B24" s="13" t="n">
        <v>-22.44</v>
      </c>
      <c r="C24" s="13" t="n">
        <v>3.55</v>
      </c>
      <c r="D24" s="13" t="n">
        <v>-10.59</v>
      </c>
      <c r="E24" s="13" t="n">
        <v>-13.22</v>
      </c>
      <c r="F24" s="13" t="n">
        <v>8.35</v>
      </c>
      <c r="G24" s="13" t="n">
        <v>-28.76</v>
      </c>
      <c r="H24" s="13" t="n">
        <v>15.05</v>
      </c>
      <c r="I24" s="13" t="n">
        <v>-1.25</v>
      </c>
      <c r="J24" s="13" t="n">
        <v>-11.68</v>
      </c>
      <c r="K24" s="13" t="n">
        <v>27.03</v>
      </c>
      <c r="L24" s="13" t="n">
        <v>-7.55</v>
      </c>
      <c r="M24" s="13" t="n">
        <v>-13.31</v>
      </c>
      <c r="N24" s="13" t="n">
        <v>-16.93</v>
      </c>
      <c r="O24" s="13" t="n">
        <v>10.42</v>
      </c>
      <c r="P24" s="13" t="n">
        <v>9.46</v>
      </c>
      <c r="Q24" s="13" t="n">
        <v>-14.29</v>
      </c>
      <c r="R24" s="13" t="n">
        <v>30</v>
      </c>
      <c r="S24" s="13" t="n">
        <v>40</v>
      </c>
      <c r="T24" s="13" t="n">
        <v>8.33</v>
      </c>
      <c r="U24" s="13" t="n">
        <v>300</v>
      </c>
      <c r="V24" s="13" t="n">
        <v>17.42</v>
      </c>
      <c r="W24" s="13" t="n">
        <v>8.01</v>
      </c>
      <c r="X24" s="13" t="n">
        <v>51.54</v>
      </c>
      <c r="Y24" s="13" t="n">
        <v>21.63</v>
      </c>
      <c r="Z24" s="13" t="n">
        <v>-95.58</v>
      </c>
      <c r="AA24" s="13" t="n">
        <v>-100</v>
      </c>
      <c r="AB24" s="13" t="n">
        <v>-22.58</v>
      </c>
      <c r="AC24" s="13" t="n">
        <v>-8.33</v>
      </c>
      <c r="AD24" s="13" t="n">
        <v>39.12</v>
      </c>
      <c r="AE24" s="13" t="n">
        <v>18.75</v>
      </c>
      <c r="AF24" s="13" t="n">
        <v>3.05</v>
      </c>
      <c r="AG24" s="13" t="n">
        <v>3.67</v>
      </c>
    </row>
    <row r="25" customFormat="false" ht="15" hidden="false" customHeight="false" outlineLevel="0" collapsed="false">
      <c r="A25" s="4" t="s">
        <v>132</v>
      </c>
      <c r="B25" s="13" t="n">
        <v>-20.36</v>
      </c>
      <c r="C25" s="13" t="n">
        <v>4.18</v>
      </c>
      <c r="D25" s="13" t="n">
        <v>-5.32</v>
      </c>
      <c r="E25" s="13" t="n">
        <v>-5.96</v>
      </c>
      <c r="F25" s="13" t="n">
        <v>-1.29</v>
      </c>
      <c r="G25" s="13" t="n">
        <v>-26.38</v>
      </c>
      <c r="H25" s="13" t="n">
        <v>16.83</v>
      </c>
      <c r="I25" s="13" t="n">
        <v>-1.77</v>
      </c>
      <c r="J25" s="13" t="n">
        <v>13.28</v>
      </c>
      <c r="K25" s="13" t="n">
        <v>-11.4</v>
      </c>
      <c r="L25" s="13" t="n">
        <v>-3.57</v>
      </c>
      <c r="M25" s="13" t="n">
        <v>-10.49</v>
      </c>
      <c r="N25" s="13" t="n">
        <v>-13.51</v>
      </c>
      <c r="O25" s="13" t="n">
        <v>7.86</v>
      </c>
      <c r="P25" s="13" t="n">
        <v>25.24</v>
      </c>
      <c r="Q25" s="13" t="n">
        <v>0</v>
      </c>
      <c r="R25" s="13" t="n">
        <v>-37.5</v>
      </c>
      <c r="S25" s="13" t="n">
        <v>-56.25</v>
      </c>
      <c r="T25" s="13" t="n">
        <v>190</v>
      </c>
      <c r="U25" s="13" t="n">
        <v>350</v>
      </c>
      <c r="V25" s="13" t="n">
        <v>46.64</v>
      </c>
      <c r="W25" s="13" t="n">
        <v>43.63</v>
      </c>
      <c r="X25" s="13" t="n">
        <v>46.48</v>
      </c>
      <c r="Y25" s="13" t="n">
        <v>48.06</v>
      </c>
      <c r="Z25" s="13" t="n">
        <v>-90.63</v>
      </c>
      <c r="AA25" s="13" t="n">
        <v>-100</v>
      </c>
      <c r="AB25" s="13" t="n">
        <v>-61.76</v>
      </c>
      <c r="AC25" s="13" t="n">
        <v>-5.19</v>
      </c>
      <c r="AD25" s="13" t="n">
        <v>-0.53</v>
      </c>
      <c r="AE25" s="13" t="n">
        <v>-45</v>
      </c>
      <c r="AF25" s="13" t="n">
        <v>-1.5</v>
      </c>
      <c r="AG25" s="13" t="n">
        <v>14.47</v>
      </c>
    </row>
    <row r="26" customFormat="false" ht="15" hidden="false" customHeight="false" outlineLevel="0" collapsed="false">
      <c r="A26" s="4" t="s">
        <v>134</v>
      </c>
      <c r="B26" s="13" t="n">
        <v>19.2</v>
      </c>
      <c r="C26" s="13" t="n">
        <v>-1.44</v>
      </c>
      <c r="D26" s="13" t="n">
        <v>-10.72</v>
      </c>
      <c r="E26" s="13" t="n">
        <v>-12.21</v>
      </c>
      <c r="F26" s="13" t="n">
        <v>-0.43</v>
      </c>
      <c r="G26" s="13" t="n">
        <v>25.89</v>
      </c>
      <c r="H26" s="13" t="n">
        <v>-3.6</v>
      </c>
      <c r="I26" s="13" t="n">
        <v>-2.75</v>
      </c>
      <c r="J26" s="13" t="n">
        <v>-1.24</v>
      </c>
      <c r="K26" s="13" t="n">
        <v>10.67</v>
      </c>
      <c r="L26" s="13" t="n">
        <v>-3.19</v>
      </c>
      <c r="M26" s="13" t="n">
        <v>7.94</v>
      </c>
      <c r="N26" s="13" t="n">
        <v>7.92</v>
      </c>
      <c r="O26" s="13" t="n">
        <v>8.17</v>
      </c>
      <c r="P26" s="13" t="n">
        <v>-12.4</v>
      </c>
      <c r="Q26" s="13" t="n">
        <v>-48.48</v>
      </c>
      <c r="R26" s="13" t="n">
        <v>60</v>
      </c>
      <c r="S26" s="13" t="n">
        <v>40</v>
      </c>
      <c r="T26" s="13" t="n">
        <v>142.86</v>
      </c>
      <c r="U26" s="13" t="n">
        <v>50</v>
      </c>
      <c r="V26" s="13" t="n">
        <v>66.79</v>
      </c>
      <c r="W26" s="13" t="n">
        <v>81.56</v>
      </c>
      <c r="X26" s="13" t="n">
        <v>39.34</v>
      </c>
      <c r="Y26" s="13" t="n">
        <v>12.97</v>
      </c>
      <c r="Z26" s="13" t="n">
        <v>25</v>
      </c>
      <c r="AA26" s="29" t="s">
        <v>472</v>
      </c>
      <c r="AB26" s="13" t="n">
        <v>22.73</v>
      </c>
      <c r="AC26" s="13" t="n">
        <v>-19.83</v>
      </c>
      <c r="AD26" s="13" t="n">
        <v>18.02</v>
      </c>
      <c r="AE26" s="13" t="n">
        <v>-50</v>
      </c>
      <c r="AF26" s="13" t="n">
        <v>2.4</v>
      </c>
      <c r="AG26" s="13" t="n">
        <v>12.37</v>
      </c>
    </row>
    <row r="27" customFormat="false" ht="15" hidden="false" customHeight="false" outlineLevel="0" collapsed="false">
      <c r="A27" s="4" t="s">
        <v>135</v>
      </c>
      <c r="B27" s="13" t="n">
        <v>-24.34</v>
      </c>
      <c r="C27" s="13" t="n">
        <v>7.17</v>
      </c>
      <c r="D27" s="13" t="n">
        <v>-5.76</v>
      </c>
      <c r="E27" s="13" t="n">
        <v>-5.91</v>
      </c>
      <c r="F27" s="13" t="n">
        <v>-4.21</v>
      </c>
      <c r="G27" s="13" t="n">
        <v>-30.56</v>
      </c>
      <c r="H27" s="13" t="n">
        <v>10.05</v>
      </c>
      <c r="I27" s="13" t="n">
        <v>3.3</v>
      </c>
      <c r="J27" s="13" t="n">
        <v>-0.37</v>
      </c>
      <c r="K27" s="13" t="n">
        <v>-9.09</v>
      </c>
      <c r="L27" s="13" t="n">
        <v>-3.42</v>
      </c>
      <c r="M27" s="13" t="n">
        <v>-9.64</v>
      </c>
      <c r="N27" s="13" t="n">
        <v>-13.28</v>
      </c>
      <c r="O27" s="13" t="n">
        <v>11.65</v>
      </c>
      <c r="P27" s="13" t="n">
        <v>4.88</v>
      </c>
      <c r="Q27" s="13" t="n">
        <v>-45.16</v>
      </c>
      <c r="R27" s="13" t="n">
        <v>44.44</v>
      </c>
      <c r="S27" s="13" t="n">
        <v>50</v>
      </c>
      <c r="T27" s="13" t="n">
        <v>43.75</v>
      </c>
      <c r="U27" s="13" t="n">
        <v>-78.57</v>
      </c>
      <c r="V27" s="13" t="n">
        <v>19.22</v>
      </c>
      <c r="W27" s="13" t="n">
        <v>11.14</v>
      </c>
      <c r="X27" s="13" t="n">
        <v>40.04</v>
      </c>
      <c r="Y27" s="13" t="n">
        <v>3.21</v>
      </c>
      <c r="Z27" s="13" t="n">
        <v>-92.59</v>
      </c>
      <c r="AA27" s="13" t="n">
        <v>-91.53</v>
      </c>
      <c r="AB27" s="13" t="n">
        <v>-100</v>
      </c>
      <c r="AC27" s="13" t="n">
        <v>-17.12</v>
      </c>
      <c r="AD27" s="13" t="n">
        <v>11.56</v>
      </c>
      <c r="AE27" s="13" t="n">
        <v>37.5</v>
      </c>
      <c r="AF27" s="13" t="n">
        <v>-3.66</v>
      </c>
      <c r="AG27" s="13" t="n">
        <v>1.2</v>
      </c>
    </row>
    <row r="28" customFormat="false" ht="15" hidden="false" customHeight="false" outlineLevel="0" collapsed="false">
      <c r="A28" s="4" t="s">
        <v>136</v>
      </c>
      <c r="B28" s="13" t="n">
        <v>26.45</v>
      </c>
      <c r="C28" s="13" t="n">
        <v>-3.78</v>
      </c>
      <c r="D28" s="13" t="n">
        <v>5.79</v>
      </c>
      <c r="E28" s="13" t="n">
        <v>6.61</v>
      </c>
      <c r="F28" s="13" t="n">
        <v>0</v>
      </c>
      <c r="G28" s="13" t="n">
        <v>33.03</v>
      </c>
      <c r="H28" s="13" t="n">
        <v>3.74</v>
      </c>
      <c r="I28" s="13" t="n">
        <v>-8.3</v>
      </c>
      <c r="J28" s="13" t="n">
        <v>13.23</v>
      </c>
      <c r="K28" s="13" t="n">
        <v>6.91</v>
      </c>
      <c r="L28" s="13" t="n">
        <v>3.67</v>
      </c>
      <c r="M28" s="13" t="n">
        <v>-5.36</v>
      </c>
      <c r="N28" s="13" t="n">
        <v>-6.42</v>
      </c>
      <c r="O28" s="13" t="n">
        <v>0.51</v>
      </c>
      <c r="P28" s="13" t="n">
        <v>-30.86</v>
      </c>
      <c r="Q28" s="13" t="n">
        <v>100</v>
      </c>
      <c r="R28" s="13" t="n">
        <v>-61.54</v>
      </c>
      <c r="S28" s="13" t="n">
        <v>-71.43</v>
      </c>
      <c r="T28" s="13" t="n">
        <v>-7.69</v>
      </c>
      <c r="U28" s="13" t="n">
        <v>-75</v>
      </c>
      <c r="V28" s="13" t="n">
        <v>41.25</v>
      </c>
      <c r="W28" s="13" t="n">
        <v>43.23</v>
      </c>
      <c r="X28" s="13" t="n">
        <v>43.92</v>
      </c>
      <c r="Y28" s="13" t="n">
        <v>19.24</v>
      </c>
      <c r="Z28" s="13" t="n">
        <v>980</v>
      </c>
      <c r="AA28" s="29" t="s">
        <v>472</v>
      </c>
      <c r="AB28" s="13" t="n">
        <v>54.17</v>
      </c>
      <c r="AC28" s="13" t="n">
        <v>-16.45</v>
      </c>
      <c r="AD28" s="13" t="n">
        <v>3.91</v>
      </c>
      <c r="AE28" s="13" t="n">
        <v>5.26</v>
      </c>
      <c r="AF28" s="13" t="n">
        <v>5.91</v>
      </c>
      <c r="AG28" s="13" t="n">
        <v>13.98</v>
      </c>
    </row>
    <row r="29" customFormat="false" ht="15" hidden="false" customHeight="false" outlineLevel="0" collapsed="false">
      <c r="A29" s="4" t="s">
        <v>137</v>
      </c>
      <c r="B29" s="13" t="n">
        <v>-1.5</v>
      </c>
      <c r="C29" s="13" t="n">
        <v>-3.65</v>
      </c>
      <c r="D29" s="13" t="n">
        <v>-1.07</v>
      </c>
      <c r="E29" s="13" t="n">
        <v>-1.38</v>
      </c>
      <c r="F29" s="13" t="n">
        <v>1.31</v>
      </c>
      <c r="G29" s="13" t="n">
        <v>0.83</v>
      </c>
      <c r="H29" s="13" t="n">
        <v>-13.56</v>
      </c>
      <c r="I29" s="13" t="n">
        <v>0.9</v>
      </c>
      <c r="J29" s="13" t="n">
        <v>-13.92</v>
      </c>
      <c r="K29" s="13" t="n">
        <v>19.3</v>
      </c>
      <c r="L29" s="13" t="n">
        <v>3.54</v>
      </c>
      <c r="M29" s="13" t="n">
        <v>-8.42</v>
      </c>
      <c r="N29" s="13" t="n">
        <v>-10.16</v>
      </c>
      <c r="O29" s="13" t="n">
        <v>1.51</v>
      </c>
      <c r="P29" s="13" t="n">
        <v>-6.2</v>
      </c>
      <c r="Q29" s="13" t="n">
        <v>50</v>
      </c>
      <c r="R29" s="13" t="n">
        <v>280</v>
      </c>
      <c r="S29" s="13" t="n">
        <v>457.14</v>
      </c>
      <c r="T29" s="13" t="n">
        <v>10.34</v>
      </c>
      <c r="U29" s="13" t="n">
        <v>-100</v>
      </c>
      <c r="V29" s="13" t="n">
        <v>14.25</v>
      </c>
      <c r="W29" s="13" t="n">
        <v>16.94</v>
      </c>
      <c r="X29" s="13" t="n">
        <v>7.52</v>
      </c>
      <c r="Y29" s="13" t="n">
        <v>-14.4</v>
      </c>
      <c r="Z29" s="13" t="n">
        <v>-100</v>
      </c>
      <c r="AA29" s="29" t="s">
        <v>472</v>
      </c>
      <c r="AB29" s="13" t="n">
        <v>-100</v>
      </c>
      <c r="AC29" s="13" t="n">
        <v>-14.61</v>
      </c>
      <c r="AD29" s="13" t="n">
        <v>12.3</v>
      </c>
      <c r="AE29" s="13" t="n">
        <v>90.91</v>
      </c>
      <c r="AF29" s="13" t="n">
        <v>-7.97</v>
      </c>
      <c r="AG29" s="13" t="n">
        <v>11.17</v>
      </c>
    </row>
    <row r="30" customFormat="false" ht="15" hidden="false" customHeight="false" outlineLevel="0" collapsed="false">
      <c r="A30" s="4" t="s">
        <v>140</v>
      </c>
      <c r="B30" s="13" t="n">
        <v>-24.83</v>
      </c>
      <c r="C30" s="13" t="n">
        <v>-0.24</v>
      </c>
      <c r="D30" s="13" t="n">
        <v>4.19</v>
      </c>
      <c r="E30" s="13" t="n">
        <v>3.48</v>
      </c>
      <c r="F30" s="13" t="n">
        <v>8.04</v>
      </c>
      <c r="G30" s="13" t="n">
        <v>-29.79</v>
      </c>
      <c r="H30" s="13" t="n">
        <v>0.93</v>
      </c>
      <c r="I30" s="13" t="n">
        <v>-9.91</v>
      </c>
      <c r="J30" s="13" t="n">
        <v>28.99</v>
      </c>
      <c r="K30" s="13" t="n">
        <v>-6.09</v>
      </c>
      <c r="L30" s="13" t="n">
        <v>0.5</v>
      </c>
      <c r="M30" s="13" t="n">
        <v>-18.06</v>
      </c>
      <c r="N30" s="13" t="n">
        <v>-20.63</v>
      </c>
      <c r="O30" s="13" t="n">
        <v>-3.27</v>
      </c>
      <c r="P30" s="13" t="n">
        <v>5.66</v>
      </c>
      <c r="Q30" s="13" t="n">
        <v>76.47</v>
      </c>
      <c r="R30" s="13" t="n">
        <v>350</v>
      </c>
      <c r="S30" s="13" t="n">
        <v>457.14</v>
      </c>
      <c r="T30" s="13" t="n">
        <v>-58.82</v>
      </c>
      <c r="U30" s="13" t="n">
        <v>-66.67</v>
      </c>
      <c r="V30" s="13" t="n">
        <v>-15.63</v>
      </c>
      <c r="W30" s="13" t="n">
        <v>-20.32</v>
      </c>
      <c r="X30" s="13" t="n">
        <v>-8.67</v>
      </c>
      <c r="Y30" s="13" t="n">
        <v>-10.97</v>
      </c>
      <c r="Z30" s="13" t="n">
        <v>-60</v>
      </c>
      <c r="AA30" s="29" t="s">
        <v>472</v>
      </c>
      <c r="AB30" s="13" t="n">
        <v>-66.67</v>
      </c>
      <c r="AC30" s="13" t="n">
        <v>4.64</v>
      </c>
      <c r="AD30" s="13" t="n">
        <v>-6.69</v>
      </c>
      <c r="AE30" s="13" t="n">
        <v>9.09</v>
      </c>
      <c r="AF30" s="13" t="n">
        <v>8.38</v>
      </c>
      <c r="AG30" s="13" t="n">
        <v>13</v>
      </c>
    </row>
    <row r="32" customFormat="false" ht="15" hidden="false" customHeight="false" outlineLevel="0" collapsed="false">
      <c r="A32" s="20" t="s">
        <v>473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  <col collapsed="false" customWidth="true" hidden="false" outlineLevel="0" max="4" min="4" style="0" width="3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1" t="s">
        <v>474</v>
      </c>
    </row>
    <row r="2" customFormat="false" ht="15" hidden="false" customHeight="false" outlineLevel="0" collapsed="false">
      <c r="A2" s="2" t="s">
        <v>475</v>
      </c>
    </row>
    <row r="4" customFormat="false" ht="63.75" hidden="false" customHeight="true" outlineLevel="0" collapsed="false">
      <c r="A4" s="10" t="s">
        <v>476</v>
      </c>
      <c r="B4" s="10" t="s">
        <v>477</v>
      </c>
      <c r="C4" s="10" t="s">
        <v>478</v>
      </c>
      <c r="E4" s="10" t="s">
        <v>51</v>
      </c>
      <c r="F4" s="10" t="s">
        <v>479</v>
      </c>
      <c r="G4" s="10" t="s">
        <v>480</v>
      </c>
    </row>
    <row r="5" customFormat="false" ht="15" hidden="false" customHeight="false" outlineLevel="0" collapsed="false">
      <c r="A5" s="4" t="s">
        <v>481</v>
      </c>
      <c r="B5" s="13" t="n">
        <v>7.53</v>
      </c>
      <c r="C5" s="13" t="n">
        <v>7.26</v>
      </c>
      <c r="E5" s="4" t="s">
        <v>100</v>
      </c>
      <c r="F5" s="29" t="s">
        <v>482</v>
      </c>
      <c r="G5" s="30" t="n">
        <v>6.74</v>
      </c>
    </row>
    <row r="6" customFormat="false" ht="15" hidden="false" customHeight="false" outlineLevel="0" collapsed="false">
      <c r="A6" s="4" t="s">
        <v>483</v>
      </c>
      <c r="B6" s="13" t="n">
        <v>7.39</v>
      </c>
      <c r="C6" s="13" t="n">
        <v>7.12</v>
      </c>
      <c r="E6" s="4" t="s">
        <v>104</v>
      </c>
      <c r="F6" s="29" t="s">
        <v>484</v>
      </c>
      <c r="G6" s="30" t="n">
        <v>5.2887</v>
      </c>
    </row>
    <row r="7" customFormat="false" ht="15" hidden="false" customHeight="false" outlineLevel="0" collapsed="false">
      <c r="A7" s="4" t="s">
        <v>485</v>
      </c>
      <c r="B7" s="13" t="n">
        <v>7.1</v>
      </c>
      <c r="C7" s="13" t="n">
        <v>6.89</v>
      </c>
      <c r="E7" s="4" t="s">
        <v>105</v>
      </c>
      <c r="F7" s="29" t="s">
        <v>486</v>
      </c>
      <c r="G7" s="30" t="n">
        <v>4.5495</v>
      </c>
    </row>
    <row r="8" customFormat="false" ht="15" hidden="false" customHeight="false" outlineLevel="0" collapsed="false">
      <c r="A8" s="4" t="s">
        <v>487</v>
      </c>
      <c r="B8" s="13" t="n">
        <v>6.54</v>
      </c>
      <c r="C8" s="13" t="n">
        <v>6.35</v>
      </c>
      <c r="E8" s="4" t="s">
        <v>106</v>
      </c>
      <c r="F8" s="29" t="s">
        <v>488</v>
      </c>
      <c r="G8" s="30" t="n">
        <v>4.4842</v>
      </c>
    </row>
    <row r="9" customFormat="false" ht="15" hidden="false" customHeight="false" outlineLevel="0" collapsed="false">
      <c r="A9" s="4" t="s">
        <v>489</v>
      </c>
      <c r="B9" s="13" t="n">
        <v>6</v>
      </c>
      <c r="C9" s="13" t="n">
        <v>5.8</v>
      </c>
      <c r="E9" s="4" t="s">
        <v>108</v>
      </c>
      <c r="F9" s="29" t="s">
        <v>490</v>
      </c>
      <c r="G9" s="30" t="n">
        <v>4.2875</v>
      </c>
    </row>
    <row r="10" customFormat="false" ht="15" hidden="false" customHeight="false" outlineLevel="0" collapsed="false">
      <c r="A10" s="4" t="s">
        <v>491</v>
      </c>
      <c r="B10" s="13" t="n">
        <v>5.65</v>
      </c>
      <c r="C10" s="13" t="n">
        <v>5.49</v>
      </c>
      <c r="E10" s="4" t="s">
        <v>110</v>
      </c>
      <c r="F10" s="29" t="s">
        <v>492</v>
      </c>
      <c r="G10" s="30" t="n">
        <v>4.5292</v>
      </c>
    </row>
    <row r="11" customFormat="false" ht="15" hidden="false" customHeight="false" outlineLevel="0" collapsed="false">
      <c r="A11" s="4" t="s">
        <v>493</v>
      </c>
      <c r="B11" s="13" t="n">
        <v>5.23</v>
      </c>
      <c r="C11" s="13" t="n">
        <v>5.01</v>
      </c>
      <c r="E11" s="4" t="s">
        <v>112</v>
      </c>
      <c r="F11" s="29" t="s">
        <v>494</v>
      </c>
      <c r="G11" s="30" t="n">
        <v>4.749</v>
      </c>
    </row>
    <row r="12" customFormat="false" ht="15" hidden="false" customHeight="false" outlineLevel="0" collapsed="false">
      <c r="A12" s="4" t="s">
        <v>495</v>
      </c>
      <c r="B12" s="13" t="n">
        <v>4.97</v>
      </c>
      <c r="C12" s="13" t="n">
        <v>4.73</v>
      </c>
      <c r="E12" s="4" t="s">
        <v>113</v>
      </c>
      <c r="F12" s="29" t="s">
        <v>496</v>
      </c>
      <c r="G12" s="30" t="n">
        <v>5.715</v>
      </c>
    </row>
    <row r="13" customFormat="false" ht="15" hidden="false" customHeight="false" outlineLevel="0" collapsed="false">
      <c r="A13" s="4" t="s">
        <v>497</v>
      </c>
      <c r="B13" s="13" t="n">
        <v>4.72</v>
      </c>
      <c r="C13" s="13" t="n">
        <v>4.47</v>
      </c>
      <c r="E13" s="4" t="s">
        <v>114</v>
      </c>
      <c r="F13" s="29" t="s">
        <v>498</v>
      </c>
      <c r="G13" s="30" t="n">
        <v>6.7265</v>
      </c>
    </row>
    <row r="14" customFormat="false" ht="15" hidden="false" customHeight="false" outlineLevel="0" collapsed="false">
      <c r="A14" s="4" t="s">
        <v>499</v>
      </c>
      <c r="B14" s="13" t="n">
        <v>4.53</v>
      </c>
      <c r="C14" s="13" t="n">
        <v>4.25</v>
      </c>
      <c r="E14" s="4" t="s">
        <v>116</v>
      </c>
      <c r="F14" s="29" t="s">
        <v>500</v>
      </c>
      <c r="G14" s="30" t="n">
        <v>8.0245</v>
      </c>
    </row>
    <row r="15" customFormat="false" ht="15" hidden="false" customHeight="false" outlineLevel="0" collapsed="false">
      <c r="A15" s="4" t="s">
        <v>501</v>
      </c>
      <c r="B15" s="13" t="n">
        <v>4.5</v>
      </c>
      <c r="C15" s="13" t="n">
        <v>4.27</v>
      </c>
      <c r="E15" s="4" t="s">
        <v>117</v>
      </c>
      <c r="F15" s="29" t="s">
        <v>502</v>
      </c>
      <c r="G15" s="30" t="n">
        <v>9.02</v>
      </c>
    </row>
    <row r="16" customFormat="false" ht="15" hidden="false" customHeight="false" outlineLevel="0" collapsed="false">
      <c r="A16" s="4" t="s">
        <v>503</v>
      </c>
      <c r="B16" s="13" t="n">
        <v>4.49</v>
      </c>
      <c r="C16" s="13" t="n">
        <v>4.29</v>
      </c>
      <c r="E16" s="4" t="s">
        <v>118</v>
      </c>
      <c r="F16" s="29" t="s">
        <v>504</v>
      </c>
      <c r="G16" s="30" t="n">
        <v>10.7605</v>
      </c>
    </row>
    <row r="17" customFormat="false" ht="15" hidden="false" customHeight="false" outlineLevel="0" collapsed="false">
      <c r="A17" s="4" t="s">
        <v>505</v>
      </c>
      <c r="B17" s="13" t="n">
        <v>4.47</v>
      </c>
      <c r="C17" s="13" t="n">
        <v>4.3</v>
      </c>
      <c r="E17" s="4" t="s">
        <v>119</v>
      </c>
      <c r="F17" s="29" t="s">
        <v>506</v>
      </c>
      <c r="G17" s="30" t="n">
        <v>11.4274</v>
      </c>
    </row>
    <row r="18" customFormat="false" ht="15" hidden="false" customHeight="false" outlineLevel="0" collapsed="false">
      <c r="A18" s="4" t="s">
        <v>507</v>
      </c>
      <c r="B18" s="13" t="n">
        <v>4.36</v>
      </c>
      <c r="C18" s="13" t="n">
        <v>4.11</v>
      </c>
      <c r="E18" s="4" t="s">
        <v>121</v>
      </c>
      <c r="F18" s="29" t="s">
        <v>508</v>
      </c>
      <c r="G18" s="30" t="n">
        <v>11.4925</v>
      </c>
    </row>
    <row r="19" customFormat="false" ht="15" hidden="false" customHeight="false" outlineLevel="0" collapsed="false">
      <c r="A19" s="4" t="s">
        <v>509</v>
      </c>
      <c r="B19" s="13" t="n">
        <v>4.28</v>
      </c>
      <c r="C19" s="13" t="n">
        <v>4.02</v>
      </c>
      <c r="E19" s="4" t="s">
        <v>123</v>
      </c>
      <c r="F19" s="29" t="s">
        <v>510</v>
      </c>
      <c r="G19" s="30" t="n">
        <v>11.4983</v>
      </c>
    </row>
    <row r="20" customFormat="false" ht="15" hidden="false" customHeight="false" outlineLevel="0" collapsed="false">
      <c r="A20" s="4" t="s">
        <v>511</v>
      </c>
      <c r="B20" s="13" t="n">
        <v>4.28</v>
      </c>
      <c r="C20" s="13" t="n">
        <v>4.01</v>
      </c>
      <c r="E20" s="4" t="s">
        <v>124</v>
      </c>
      <c r="F20" s="29" t="s">
        <v>512</v>
      </c>
      <c r="G20" s="30" t="n">
        <v>11.5035</v>
      </c>
    </row>
    <row r="21" customFormat="false" ht="15" hidden="false" customHeight="false" outlineLevel="0" collapsed="false">
      <c r="A21" s="4" t="s">
        <v>513</v>
      </c>
      <c r="B21" s="13" t="n">
        <v>4.29</v>
      </c>
      <c r="C21" s="13" t="n">
        <v>4.04</v>
      </c>
      <c r="E21" s="4" t="s">
        <v>125</v>
      </c>
      <c r="F21" s="29" t="s">
        <v>514</v>
      </c>
      <c r="G21" s="30" t="n">
        <v>11.2475</v>
      </c>
    </row>
    <row r="22" customFormat="false" ht="15" hidden="false" customHeight="false" outlineLevel="0" collapsed="false">
      <c r="A22" s="4" t="s">
        <v>515</v>
      </c>
      <c r="B22" s="13" t="n">
        <v>4.32</v>
      </c>
      <c r="C22" s="13" t="n">
        <v>4.04</v>
      </c>
      <c r="E22" s="4" t="s">
        <v>129</v>
      </c>
      <c r="F22" s="29" t="s">
        <v>516</v>
      </c>
      <c r="G22" s="30" t="n">
        <v>11.24</v>
      </c>
    </row>
    <row r="23" customFormat="false" ht="15" hidden="false" customHeight="false" outlineLevel="0" collapsed="false">
      <c r="A23" s="4" t="s">
        <v>517</v>
      </c>
      <c r="B23" s="13" t="n">
        <v>4.52</v>
      </c>
      <c r="C23" s="13" t="n">
        <v>4.28</v>
      </c>
      <c r="E23" s="4" t="s">
        <v>130</v>
      </c>
      <c r="F23" s="29" t="s">
        <v>518</v>
      </c>
      <c r="G23" s="30" t="n">
        <v>10.74</v>
      </c>
    </row>
    <row r="24" customFormat="false" ht="15" hidden="false" customHeight="false" outlineLevel="0" collapsed="false">
      <c r="A24" s="4" t="s">
        <v>519</v>
      </c>
      <c r="B24" s="13" t="n">
        <v>4.65</v>
      </c>
      <c r="C24" s="13" t="n">
        <v>4.41</v>
      </c>
      <c r="E24" s="4" t="s">
        <v>131</v>
      </c>
      <c r="F24" s="29" t="s">
        <v>520</v>
      </c>
      <c r="G24" s="30" t="n">
        <v>10.244</v>
      </c>
    </row>
    <row r="25" customFormat="false" ht="15" hidden="false" customHeight="false" outlineLevel="0" collapsed="false">
      <c r="A25" s="4" t="s">
        <v>521</v>
      </c>
      <c r="B25" s="13" t="n">
        <v>4.75</v>
      </c>
      <c r="C25" s="13" t="n">
        <v>4.58</v>
      </c>
      <c r="E25" s="4" t="s">
        <v>132</v>
      </c>
      <c r="F25" s="29" t="s">
        <v>522</v>
      </c>
      <c r="G25" s="30" t="n">
        <v>9.2604</v>
      </c>
    </row>
    <row r="26" customFormat="false" ht="15" hidden="false" customHeight="false" outlineLevel="0" collapsed="false">
      <c r="A26" s="4" t="s">
        <v>523</v>
      </c>
      <c r="B26" s="13" t="n">
        <v>4.98</v>
      </c>
      <c r="C26" s="13" t="n">
        <v>4.8</v>
      </c>
      <c r="E26" s="4" t="s">
        <v>134</v>
      </c>
      <c r="F26" s="29" t="s">
        <v>524</v>
      </c>
      <c r="G26" s="30" t="n">
        <v>8.2842</v>
      </c>
    </row>
    <row r="27" customFormat="false" ht="15" hidden="false" customHeight="false" outlineLevel="0" collapsed="false">
      <c r="A27" s="4" t="s">
        <v>525</v>
      </c>
      <c r="B27" s="13" t="n">
        <v>5.13</v>
      </c>
      <c r="C27" s="13" t="n">
        <v>4.91</v>
      </c>
      <c r="E27" s="4" t="s">
        <v>135</v>
      </c>
      <c r="F27" s="29" t="s">
        <v>526</v>
      </c>
      <c r="G27" s="30" t="n">
        <v>7.8818</v>
      </c>
    </row>
    <row r="28" customFormat="false" ht="15" hidden="false" customHeight="false" outlineLevel="0" collapsed="false">
      <c r="A28" s="4" t="s">
        <v>527</v>
      </c>
      <c r="B28" s="13" t="n">
        <v>5.44</v>
      </c>
      <c r="C28" s="13" t="n">
        <v>5.19</v>
      </c>
      <c r="E28" s="4" t="s">
        <v>136</v>
      </c>
      <c r="F28" s="29" t="s">
        <v>528</v>
      </c>
      <c r="G28" s="30" t="n">
        <v>7.3489</v>
      </c>
    </row>
    <row r="29" customFormat="false" ht="15" hidden="false" customHeight="false" outlineLevel="0" collapsed="false">
      <c r="A29" s="4" t="s">
        <v>529</v>
      </c>
      <c r="B29" s="13" t="n">
        <v>5.72</v>
      </c>
      <c r="C29" s="13" t="n">
        <v>5.5</v>
      </c>
      <c r="E29" s="4" t="s">
        <v>137</v>
      </c>
      <c r="F29" s="29" t="s">
        <v>530</v>
      </c>
      <c r="G29" s="30" t="n">
        <v>7.0272</v>
      </c>
    </row>
    <row r="30" customFormat="false" ht="15" hidden="false" customHeight="false" outlineLevel="0" collapsed="false">
      <c r="A30" s="4" t="s">
        <v>531</v>
      </c>
      <c r="B30" s="13" t="n">
        <v>6.02</v>
      </c>
      <c r="C30" s="13" t="n">
        <v>5.8</v>
      </c>
      <c r="E30" s="4" t="s">
        <v>140</v>
      </c>
      <c r="F30" s="29" t="s">
        <v>532</v>
      </c>
      <c r="G30" s="30" t="n">
        <v>6.7559</v>
      </c>
    </row>
    <row r="31" customFormat="false" ht="15" hidden="false" customHeight="false" outlineLevel="0" collapsed="false">
      <c r="A31" s="4" t="s">
        <v>533</v>
      </c>
      <c r="B31" s="13" t="n">
        <v>6.33</v>
      </c>
      <c r="C31" s="13" t="n">
        <v>6.1</v>
      </c>
      <c r="E31" s="4" t="s">
        <v>142</v>
      </c>
      <c r="F31" s="29" t="s">
        <v>534</v>
      </c>
      <c r="G31" s="30" t="n">
        <v>6.8162</v>
      </c>
    </row>
    <row r="32" customFormat="false" ht="15" hidden="false" customHeight="false" outlineLevel="0" collapsed="false">
      <c r="A32" s="4" t="s">
        <v>535</v>
      </c>
      <c r="B32" s="13" t="n">
        <v>6.73</v>
      </c>
      <c r="C32" s="13" t="n">
        <v>6.53</v>
      </c>
    </row>
    <row r="33" customFormat="false" ht="15" hidden="false" customHeight="false" outlineLevel="0" collapsed="false">
      <c r="A33" s="4" t="s">
        <v>536</v>
      </c>
      <c r="B33" s="13" t="n">
        <v>7.01</v>
      </c>
      <c r="C33" s="13" t="n">
        <v>6.81</v>
      </c>
    </row>
    <row r="34" customFormat="false" ht="15" hidden="false" customHeight="false" outlineLevel="0" collapsed="false">
      <c r="A34" s="4" t="s">
        <v>537</v>
      </c>
      <c r="B34" s="13" t="n">
        <v>7.42</v>
      </c>
      <c r="C34" s="13" t="n">
        <v>7.14</v>
      </c>
    </row>
    <row r="35" customFormat="false" ht="15" hidden="false" customHeight="false" outlineLevel="0" collapsed="false">
      <c r="A35" s="4" t="s">
        <v>538</v>
      </c>
      <c r="B35" s="13" t="n">
        <v>8.04</v>
      </c>
      <c r="C35" s="13" t="n">
        <v>7.75</v>
      </c>
    </row>
    <row r="36" customFormat="false" ht="15" hidden="false" customHeight="false" outlineLevel="0" collapsed="false">
      <c r="A36" s="4" t="s">
        <v>539</v>
      </c>
      <c r="B36" s="13" t="n">
        <v>8.5</v>
      </c>
      <c r="C36" s="13" t="n">
        <v>8.22</v>
      </c>
    </row>
    <row r="37" customFormat="false" ht="15" hidden="false" customHeight="false" outlineLevel="0" collapsed="false">
      <c r="A37" s="4" t="s">
        <v>540</v>
      </c>
      <c r="B37" s="13" t="n">
        <v>8.89</v>
      </c>
      <c r="C37" s="13" t="n">
        <v>8.55</v>
      </c>
    </row>
    <row r="38" customFormat="false" ht="15" hidden="false" customHeight="false" outlineLevel="0" collapsed="false">
      <c r="A38" s="4" t="s">
        <v>541</v>
      </c>
      <c r="B38" s="13" t="n">
        <v>9.56</v>
      </c>
      <c r="C38" s="13" t="n">
        <v>9.24</v>
      </c>
    </row>
    <row r="39" customFormat="false" ht="15" hidden="false" customHeight="false" outlineLevel="0" collapsed="false">
      <c r="A39" s="4" t="s">
        <v>542</v>
      </c>
      <c r="B39" s="13" t="n">
        <v>10</v>
      </c>
      <c r="C39" s="13" t="n">
        <v>9.75</v>
      </c>
    </row>
    <row r="40" customFormat="false" ht="15" hidden="false" customHeight="false" outlineLevel="0" collapsed="false">
      <c r="A40" s="4" t="s">
        <v>543</v>
      </c>
      <c r="B40" s="13" t="n">
        <v>10.53</v>
      </c>
      <c r="C40" s="13" t="n">
        <v>10.29</v>
      </c>
    </row>
    <row r="41" customFormat="false" ht="15" hidden="false" customHeight="false" outlineLevel="0" collapsed="false">
      <c r="A41" s="4" t="s">
        <v>544</v>
      </c>
      <c r="B41" s="13" t="n">
        <v>10.78</v>
      </c>
      <c r="C41" s="13" t="n">
        <v>10.5</v>
      </c>
    </row>
    <row r="42" customFormat="false" ht="15" hidden="false" customHeight="false" outlineLevel="0" collapsed="false">
      <c r="A42" s="4" t="s">
        <v>545</v>
      </c>
      <c r="B42" s="13" t="n">
        <v>11.1</v>
      </c>
      <c r="C42" s="13" t="n">
        <v>10.85</v>
      </c>
    </row>
    <row r="43" customFormat="false" ht="15" hidden="false" customHeight="false" outlineLevel="0" collapsed="false">
      <c r="A43" s="4" t="s">
        <v>546</v>
      </c>
      <c r="B43" s="13" t="n">
        <v>11.34</v>
      </c>
      <c r="C43" s="13" t="n">
        <v>11.03</v>
      </c>
    </row>
    <row r="44" customFormat="false" ht="15" hidden="false" customHeight="false" outlineLevel="0" collapsed="false">
      <c r="A44" s="4" t="s">
        <v>547</v>
      </c>
      <c r="B44" s="13" t="n">
        <v>11.53</v>
      </c>
      <c r="C44" s="13" t="n">
        <v>11.27</v>
      </c>
    </row>
    <row r="45" customFormat="false" ht="15" hidden="false" customHeight="false" outlineLevel="0" collapsed="false">
      <c r="A45" s="4" t="s">
        <v>548</v>
      </c>
      <c r="B45" s="13" t="n">
        <v>11.54</v>
      </c>
      <c r="C45" s="13" t="n">
        <v>11.29</v>
      </c>
    </row>
    <row r="46" customFormat="false" ht="15" hidden="false" customHeight="false" outlineLevel="0" collapsed="false">
      <c r="A46" s="4" t="s">
        <v>549</v>
      </c>
      <c r="B46" s="13" t="n">
        <v>11.5</v>
      </c>
      <c r="C46" s="13" t="n">
        <v>11.25</v>
      </c>
    </row>
    <row r="47" customFormat="false" ht="15" hidden="false" customHeight="false" outlineLevel="0" collapsed="false">
      <c r="A47" s="4" t="s">
        <v>550</v>
      </c>
      <c r="B47" s="13" t="n">
        <v>11.5</v>
      </c>
      <c r="C47" s="13" t="n">
        <v>11.25</v>
      </c>
    </row>
    <row r="48" customFormat="false" ht="15" hidden="false" customHeight="false" outlineLevel="0" collapsed="false">
      <c r="A48" s="4" t="s">
        <v>551</v>
      </c>
      <c r="B48" s="13" t="n">
        <v>11.5</v>
      </c>
      <c r="C48" s="13" t="n">
        <v>11.24</v>
      </c>
    </row>
    <row r="49" customFormat="false" ht="15" hidden="false" customHeight="false" outlineLevel="0" collapsed="false">
      <c r="A49" s="4" t="s">
        <v>552</v>
      </c>
      <c r="B49" s="13" t="n">
        <v>11.5</v>
      </c>
      <c r="C49" s="13" t="n">
        <v>11.25</v>
      </c>
    </row>
    <row r="50" customFormat="false" ht="15" hidden="false" customHeight="false" outlineLevel="0" collapsed="false">
      <c r="A50" s="4" t="s">
        <v>553</v>
      </c>
      <c r="B50" s="13" t="n">
        <v>11.5</v>
      </c>
      <c r="C50" s="13" t="n">
        <v>11.25</v>
      </c>
    </row>
    <row r="51" customFormat="false" ht="15" hidden="false" customHeight="false" outlineLevel="0" collapsed="false">
      <c r="A51" s="4" t="s">
        <v>554</v>
      </c>
      <c r="B51" s="13" t="n">
        <v>11.51</v>
      </c>
      <c r="C51" s="13" t="n">
        <v>11.25</v>
      </c>
    </row>
    <row r="52" customFormat="false" ht="15" hidden="false" customHeight="false" outlineLevel="0" collapsed="false">
      <c r="A52" s="4" t="s">
        <v>555</v>
      </c>
      <c r="B52" s="13" t="n">
        <v>11.5</v>
      </c>
      <c r="C52" s="13" t="n">
        <v>11.28</v>
      </c>
    </row>
    <row r="53" customFormat="false" ht="15" hidden="false" customHeight="false" outlineLevel="0" collapsed="false">
      <c r="A53" s="4" t="s">
        <v>556</v>
      </c>
      <c r="B53" s="13" t="n">
        <v>11.5</v>
      </c>
      <c r="C53" s="13" t="n">
        <v>11.26</v>
      </c>
    </row>
    <row r="54" customFormat="false" ht="15" hidden="false" customHeight="false" outlineLevel="0" collapsed="false">
      <c r="A54" s="4" t="s">
        <v>557</v>
      </c>
      <c r="B54" s="13" t="n">
        <v>11.5</v>
      </c>
      <c r="C54" s="13" t="n">
        <v>11.25</v>
      </c>
    </row>
    <row r="55" customFormat="false" ht="15" hidden="false" customHeight="false" outlineLevel="0" collapsed="false">
      <c r="A55" s="4" t="s">
        <v>558</v>
      </c>
      <c r="B55" s="13" t="n">
        <v>11.44</v>
      </c>
      <c r="C55" s="13" t="n">
        <v>11.21</v>
      </c>
    </row>
    <row r="56" customFormat="false" ht="15" hidden="false" customHeight="false" outlineLevel="0" collapsed="false">
      <c r="A56" s="4" t="s">
        <v>559</v>
      </c>
      <c r="B56" s="13" t="n">
        <v>11.25</v>
      </c>
      <c r="C56" s="13" t="n">
        <v>11.01</v>
      </c>
    </row>
    <row r="57" customFormat="false" ht="15" hidden="false" customHeight="false" outlineLevel="0" collapsed="false">
      <c r="A57" s="4" t="s">
        <v>560</v>
      </c>
      <c r="B57" s="13" t="n">
        <v>11.24</v>
      </c>
      <c r="C57" s="13" t="n">
        <v>11.01</v>
      </c>
    </row>
    <row r="58" customFormat="false" ht="15" hidden="false" customHeight="false" outlineLevel="0" collapsed="false">
      <c r="A58" s="4" t="s">
        <v>561</v>
      </c>
      <c r="B58" s="13" t="n">
        <v>11.24</v>
      </c>
      <c r="C58" s="13" t="n">
        <v>11</v>
      </c>
    </row>
    <row r="59" customFormat="false" ht="15" hidden="false" customHeight="false" outlineLevel="0" collapsed="false">
      <c r="A59" s="4" t="s">
        <v>562</v>
      </c>
      <c r="B59" s="13" t="n">
        <v>11.25</v>
      </c>
      <c r="C59" s="13" t="n">
        <v>11.01</v>
      </c>
    </row>
    <row r="60" customFormat="false" ht="15" hidden="false" customHeight="false" outlineLevel="0" collapsed="false">
      <c r="A60" s="4" t="s">
        <v>563</v>
      </c>
      <c r="B60" s="13" t="n">
        <v>11.08</v>
      </c>
      <c r="C60" s="13" t="n">
        <v>10.84</v>
      </c>
    </row>
    <row r="61" customFormat="false" ht="15" hidden="false" customHeight="false" outlineLevel="0" collapsed="false">
      <c r="A61" s="4" t="s">
        <v>564</v>
      </c>
      <c r="B61" s="13" t="n">
        <v>10.95</v>
      </c>
      <c r="C61" s="13" t="n">
        <v>10.73</v>
      </c>
    </row>
    <row r="62" customFormat="false" ht="15" hidden="false" customHeight="false" outlineLevel="0" collapsed="false">
      <c r="A62" s="4" t="s">
        <v>565</v>
      </c>
      <c r="B62" s="13" t="n">
        <v>10.74</v>
      </c>
      <c r="C62" s="13" t="n">
        <v>10.51</v>
      </c>
    </row>
    <row r="63" customFormat="false" ht="15" hidden="false" customHeight="false" outlineLevel="0" collapsed="false">
      <c r="A63" s="4" t="s">
        <v>566</v>
      </c>
      <c r="B63" s="13" t="n">
        <v>10.61</v>
      </c>
      <c r="C63" s="13" t="n">
        <v>10.42</v>
      </c>
    </row>
    <row r="64" customFormat="false" ht="15" hidden="false" customHeight="false" outlineLevel="0" collapsed="false">
      <c r="A64" s="4" t="s">
        <v>567</v>
      </c>
      <c r="B64" s="13" t="n">
        <v>10.38</v>
      </c>
      <c r="C64" s="13" t="n">
        <v>10.25</v>
      </c>
    </row>
    <row r="65" customFormat="false" ht="15" hidden="false" customHeight="false" outlineLevel="0" collapsed="false">
      <c r="A65" s="4" t="s">
        <v>568</v>
      </c>
      <c r="B65" s="13" t="n">
        <v>10.28</v>
      </c>
      <c r="C65" s="13" t="n">
        <v>10</v>
      </c>
    </row>
    <row r="66" customFormat="false" ht="15" hidden="false" customHeight="false" outlineLevel="0" collapsed="false">
      <c r="A66" s="4" t="s">
        <v>569</v>
      </c>
      <c r="B66" s="13" t="n">
        <v>9.88</v>
      </c>
      <c r="C66" s="13" t="n">
        <v>9.58</v>
      </c>
    </row>
    <row r="67" customFormat="false" ht="15" hidden="false" customHeight="false" outlineLevel="0" collapsed="false">
      <c r="A67" s="4" t="s">
        <v>570</v>
      </c>
      <c r="B67" s="13" t="n">
        <v>9.74</v>
      </c>
      <c r="C67" s="13" t="n">
        <v>9.44</v>
      </c>
    </row>
    <row r="68" customFormat="false" ht="15" hidden="false" customHeight="false" outlineLevel="0" collapsed="false">
      <c r="A68" s="4" t="s">
        <v>571</v>
      </c>
      <c r="B68" s="13" t="n">
        <v>9.28</v>
      </c>
      <c r="C68" s="13" t="n">
        <v>9.01</v>
      </c>
    </row>
    <row r="69" customFormat="false" ht="15" hidden="false" customHeight="false" outlineLevel="0" collapsed="false">
      <c r="A69" s="4" t="s">
        <v>572</v>
      </c>
      <c r="B69" s="13" t="n">
        <v>9.05</v>
      </c>
      <c r="C69" s="13" t="n">
        <v>8.75</v>
      </c>
    </row>
    <row r="70" customFormat="false" ht="15" hidden="false" customHeight="false" outlineLevel="0" collapsed="false">
      <c r="A70" s="4" t="s">
        <v>573</v>
      </c>
      <c r="B70" s="13" t="n">
        <v>8.74</v>
      </c>
      <c r="C70" s="13" t="n">
        <v>8.45</v>
      </c>
    </row>
    <row r="71" customFormat="false" ht="15" hidden="false" customHeight="false" outlineLevel="0" collapsed="false">
      <c r="A71" s="4" t="s">
        <v>574</v>
      </c>
      <c r="B71" s="13" t="n">
        <v>8.26</v>
      </c>
      <c r="C71" s="13" t="n">
        <v>7.99</v>
      </c>
    </row>
    <row r="72" customFormat="false" ht="15" hidden="false" customHeight="false" outlineLevel="0" collapsed="false">
      <c r="A72" s="4" t="s">
        <v>575</v>
      </c>
      <c r="B72" s="13" t="n">
        <v>8.09</v>
      </c>
      <c r="C72" s="13" t="n">
        <v>7.82</v>
      </c>
    </row>
    <row r="73" customFormat="false" ht="15" hidden="false" customHeight="false" outlineLevel="0" collapsed="false">
      <c r="A73" s="4" t="s">
        <v>576</v>
      </c>
      <c r="B73" s="13" t="n">
        <v>8.02</v>
      </c>
      <c r="C73" s="13" t="n">
        <v>7.76</v>
      </c>
    </row>
    <row r="74" customFormat="false" ht="15" hidden="false" customHeight="false" outlineLevel="0" collapsed="false">
      <c r="A74" s="4" t="s">
        <v>577</v>
      </c>
      <c r="B74" s="13" t="n">
        <v>7.81</v>
      </c>
      <c r="C74" s="13" t="n">
        <v>7.54</v>
      </c>
    </row>
    <row r="75" customFormat="false" ht="15" hidden="false" customHeight="false" outlineLevel="0" collapsed="false">
      <c r="A75" s="4" t="s">
        <v>578</v>
      </c>
      <c r="B75" s="13" t="n">
        <v>7.61</v>
      </c>
      <c r="C75" s="13" t="n">
        <v>7.34</v>
      </c>
    </row>
    <row r="76" customFormat="false" ht="15" hidden="false" customHeight="false" outlineLevel="0" collapsed="false">
      <c r="A76" s="4" t="s">
        <v>579</v>
      </c>
      <c r="B76" s="13" t="n">
        <v>7.47</v>
      </c>
      <c r="C76" s="13" t="n">
        <v>7.21</v>
      </c>
    </row>
    <row r="77" customFormat="false" ht="15" hidden="false" customHeight="false" outlineLevel="0" collapsed="false">
      <c r="A77" s="4" t="s">
        <v>580</v>
      </c>
      <c r="B77" s="13" t="n">
        <v>7.3</v>
      </c>
      <c r="C77" s="13" t="n">
        <v>7.03</v>
      </c>
    </row>
    <row r="78" customFormat="false" ht="15" hidden="false" customHeight="false" outlineLevel="0" collapsed="false">
      <c r="A78" s="4" t="s">
        <v>581</v>
      </c>
      <c r="B78" s="13" t="n">
        <v>7.29</v>
      </c>
      <c r="C78" s="13" t="n">
        <v>7.03</v>
      </c>
    </row>
    <row r="79" customFormat="false" ht="15" hidden="false" customHeight="false" outlineLevel="0" collapsed="false">
      <c r="A79" s="4" t="s">
        <v>582</v>
      </c>
      <c r="B79" s="13" t="n">
        <v>7.24</v>
      </c>
      <c r="C79" s="13" t="n">
        <v>6.97</v>
      </c>
    </row>
    <row r="80" customFormat="false" ht="15" hidden="false" customHeight="false" outlineLevel="0" collapsed="false">
      <c r="A80" s="4" t="s">
        <v>583</v>
      </c>
      <c r="B80" s="13" t="n">
        <v>7.02</v>
      </c>
      <c r="C80" s="13" t="n">
        <v>6.76</v>
      </c>
    </row>
    <row r="81" customFormat="false" ht="15" hidden="false" customHeight="false" outlineLevel="0" collapsed="false">
      <c r="A81" s="4" t="s">
        <v>584</v>
      </c>
      <c r="B81" s="13" t="n">
        <v>6.83</v>
      </c>
      <c r="C81" s="13" t="n">
        <v>6.56</v>
      </c>
    </row>
    <row r="82" customFormat="false" ht="15" hidden="false" customHeight="false" outlineLevel="0" collapsed="false">
      <c r="A82" s="4" t="s">
        <v>585</v>
      </c>
      <c r="B82" s="13" t="n">
        <v>6.73</v>
      </c>
      <c r="C82" s="13" t="n">
        <v>6.48</v>
      </c>
    </row>
    <row r="83" customFormat="false" ht="15" hidden="false" customHeight="false" outlineLevel="0" collapsed="false">
      <c r="A83" s="4" t="s">
        <v>586</v>
      </c>
      <c r="B83" s="13" t="n">
        <v>6.76</v>
      </c>
      <c r="C83" s="13" t="n">
        <v>6.5</v>
      </c>
    </row>
    <row r="84" customFormat="false" ht="15" hidden="false" customHeight="false" outlineLevel="0" collapsed="false">
      <c r="A84" s="4" t="s">
        <v>587</v>
      </c>
      <c r="B84" s="13" t="n">
        <v>6.76</v>
      </c>
      <c r="C84" s="13" t="n">
        <v>6.5</v>
      </c>
    </row>
    <row r="85" customFormat="false" ht="15" hidden="false" customHeight="false" outlineLevel="0" collapsed="false">
      <c r="A85" s="4" t="s">
        <v>588</v>
      </c>
      <c r="B85" s="13" t="n">
        <v>6.77</v>
      </c>
      <c r="C85" s="13" t="n">
        <v>6.52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11"/>
    <col collapsed="false" customWidth="true" hidden="false" outlineLevel="0" max="6" min="5" style="0" width="14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4"/>
  </cols>
  <sheetData>
    <row r="1" customFormat="false" ht="17.35" hidden="false" customHeight="false" outlineLevel="0" collapsed="false">
      <c r="A1" s="1" t="s">
        <v>589</v>
      </c>
    </row>
    <row r="2" customFormat="false" ht="15" hidden="false" customHeight="false" outlineLevel="0" collapsed="false">
      <c r="A2" s="2" t="s">
        <v>590</v>
      </c>
    </row>
    <row r="4" customFormat="false" ht="48" hidden="false" customHeight="true" outlineLevel="0" collapsed="false">
      <c r="A4" s="10" t="s">
        <v>51</v>
      </c>
      <c r="B4" s="10" t="s">
        <v>591</v>
      </c>
      <c r="C4" s="10" t="s">
        <v>592</v>
      </c>
      <c r="D4" s="10" t="s">
        <v>242</v>
      </c>
      <c r="E4" s="10" t="s">
        <v>593</v>
      </c>
      <c r="F4" s="10" t="s">
        <v>594</v>
      </c>
      <c r="G4" s="10" t="s">
        <v>242</v>
      </c>
      <c r="H4" s="10" t="s">
        <v>595</v>
      </c>
      <c r="I4" s="10" t="s">
        <v>596</v>
      </c>
    </row>
    <row r="5" customFormat="false" ht="15" hidden="false" customHeight="false" outlineLevel="0" collapsed="false">
      <c r="A5" s="4" t="s">
        <v>100</v>
      </c>
      <c r="B5" s="17" t="n">
        <v>24.2</v>
      </c>
      <c r="C5" s="24" t="n">
        <f aca="false">Series!J5</f>
        <v>14.8</v>
      </c>
      <c r="D5" s="16" t="n">
        <f aca="false">ROUND(B5-C5,1)</f>
        <v>9.4</v>
      </c>
      <c r="E5" s="17" t="n">
        <v>47.6</v>
      </c>
      <c r="F5" s="24" t="n">
        <f aca="false">Series!M5</f>
        <v>39.4</v>
      </c>
      <c r="G5" s="16" t="n">
        <f aca="false">ROUND(E5-F5,1)</f>
        <v>8.2</v>
      </c>
      <c r="H5" s="17" t="n">
        <v>61.1</v>
      </c>
      <c r="I5" s="17" t="n">
        <v>54.5</v>
      </c>
    </row>
    <row r="6" customFormat="false" ht="15" hidden="false" customHeight="false" outlineLevel="0" collapsed="false">
      <c r="A6" s="4" t="s">
        <v>104</v>
      </c>
      <c r="B6" s="17" t="n">
        <v>21.6</v>
      </c>
      <c r="C6" s="24" t="n">
        <f aca="false">Series!J6</f>
        <v>10.6</v>
      </c>
      <c r="D6" s="16" t="n">
        <f aca="false">ROUND(B6-C6,1)</f>
        <v>11</v>
      </c>
      <c r="E6" s="17" t="n">
        <v>47.5</v>
      </c>
      <c r="F6" s="24" t="n">
        <f aca="false">Series!M6</f>
        <v>37.2</v>
      </c>
      <c r="G6" s="16" t="n">
        <f aca="false">ROUND(E6-F6,1)</f>
        <v>10.3</v>
      </c>
      <c r="H6" s="17" t="n">
        <v>38.5</v>
      </c>
      <c r="I6" s="17" t="n">
        <v>48.1</v>
      </c>
    </row>
    <row r="7" customFormat="false" ht="15" hidden="false" customHeight="false" outlineLevel="0" collapsed="false">
      <c r="A7" s="4" t="s">
        <v>105</v>
      </c>
      <c r="B7" s="17" t="n">
        <v>19</v>
      </c>
      <c r="C7" s="24" t="n">
        <f aca="false">Series!J7</f>
        <v>12.8</v>
      </c>
      <c r="D7" s="16" t="n">
        <f aca="false">ROUND(B7-C7,1)</f>
        <v>6.2</v>
      </c>
      <c r="E7" s="17" t="n">
        <v>46.9</v>
      </c>
      <c r="F7" s="24" t="n">
        <f aca="false">Series!M7</f>
        <v>36.9</v>
      </c>
      <c r="G7" s="16" t="n">
        <f aca="false">ROUND(E7-F7,1)</f>
        <v>10</v>
      </c>
      <c r="H7" s="17" t="n">
        <v>50.8</v>
      </c>
      <c r="I7" s="17" t="n">
        <v>48.5</v>
      </c>
    </row>
    <row r="8" customFormat="false" ht="15" hidden="false" customHeight="false" outlineLevel="0" collapsed="false">
      <c r="A8" s="4" t="s">
        <v>106</v>
      </c>
      <c r="B8" s="17" t="n">
        <v>16.8</v>
      </c>
      <c r="C8" s="24" t="n">
        <f aca="false">Series!J8</f>
        <v>13.6</v>
      </c>
      <c r="D8" s="16" t="n">
        <f aca="false">ROUND(B8-C8,1)</f>
        <v>3.2</v>
      </c>
      <c r="E8" s="17" t="n">
        <v>43.9</v>
      </c>
      <c r="F8" s="24" t="n">
        <f aca="false">Series!M8</f>
        <v>39.7</v>
      </c>
      <c r="G8" s="16" t="n">
        <f aca="false">ROUND(E8-F8,1)</f>
        <v>4.2</v>
      </c>
      <c r="H8" s="17" t="n">
        <v>45.1</v>
      </c>
      <c r="I8" s="17" t="n">
        <v>50.2</v>
      </c>
    </row>
    <row r="9" customFormat="false" ht="15" hidden="false" customHeight="false" outlineLevel="0" collapsed="false">
      <c r="A9" s="4" t="s">
        <v>108</v>
      </c>
      <c r="B9" s="17" t="n">
        <v>20.8</v>
      </c>
      <c r="C9" s="24" t="n">
        <f aca="false">Series!J9</f>
        <v>15.5</v>
      </c>
      <c r="D9" s="16" t="n">
        <f aca="false">ROUND(B9-C9,1)</f>
        <v>5.3</v>
      </c>
      <c r="E9" s="17" t="n">
        <v>46</v>
      </c>
      <c r="F9" s="24" t="n">
        <f aca="false">Series!M9</f>
        <v>39.1</v>
      </c>
      <c r="G9" s="16" t="n">
        <f aca="false">ROUND(E9-F9,1)</f>
        <v>6.9</v>
      </c>
      <c r="H9" s="17" t="n">
        <v>52.8</v>
      </c>
      <c r="I9" s="17" t="n">
        <v>57.6</v>
      </c>
    </row>
    <row r="10" customFormat="false" ht="15" hidden="false" customHeight="false" outlineLevel="0" collapsed="false">
      <c r="A10" s="4" t="s">
        <v>110</v>
      </c>
      <c r="B10" s="17" t="n">
        <v>17.4</v>
      </c>
      <c r="C10" s="24" t="n">
        <f aca="false">Series!J10</f>
        <v>11</v>
      </c>
      <c r="D10" s="16" t="n">
        <f aca="false">ROUND(B10-C10,1)</f>
        <v>6.4</v>
      </c>
      <c r="E10" s="17" t="n">
        <v>43.6</v>
      </c>
      <c r="F10" s="24" t="n">
        <f aca="false">Series!M10</f>
        <v>36.6</v>
      </c>
      <c r="G10" s="16" t="n">
        <f aca="false">ROUND(E10-F10,1)</f>
        <v>7</v>
      </c>
      <c r="H10" s="17" t="n">
        <v>32.6</v>
      </c>
      <c r="I10" s="17" t="n">
        <v>62.2</v>
      </c>
    </row>
    <row r="11" customFormat="false" ht="15" hidden="false" customHeight="false" outlineLevel="0" collapsed="false">
      <c r="A11" s="4" t="s">
        <v>112</v>
      </c>
      <c r="B11" s="17" t="n">
        <v>19.3</v>
      </c>
      <c r="C11" s="24" t="n">
        <f aca="false">Series!J11</f>
        <v>11.5</v>
      </c>
      <c r="D11" s="16" t="n">
        <f aca="false">ROUND(B11-C11,1)</f>
        <v>7.8</v>
      </c>
      <c r="E11" s="17" t="n">
        <v>46.5</v>
      </c>
      <c r="F11" s="24" t="n">
        <f aca="false">Series!M11</f>
        <v>37.5</v>
      </c>
      <c r="G11" s="16" t="n">
        <f aca="false">ROUND(E11-F11,1)</f>
        <v>9</v>
      </c>
      <c r="H11" s="17" t="n">
        <v>33.8</v>
      </c>
      <c r="I11" s="17" t="n">
        <v>55.5</v>
      </c>
    </row>
    <row r="12" customFormat="false" ht="15" hidden="false" customHeight="false" outlineLevel="0" collapsed="false">
      <c r="A12" s="4" t="s">
        <v>113</v>
      </c>
      <c r="B12" s="17" t="n">
        <v>17.8</v>
      </c>
      <c r="C12" s="24" t="n">
        <f aca="false">Series!J12</f>
        <v>9</v>
      </c>
      <c r="D12" s="16" t="n">
        <f aca="false">ROUND(B12-C12,1)</f>
        <v>8.8</v>
      </c>
      <c r="E12" s="17" t="n">
        <v>48.4</v>
      </c>
      <c r="F12" s="24" t="n">
        <f aca="false">Series!M12</f>
        <v>37.5</v>
      </c>
      <c r="G12" s="16" t="n">
        <f aca="false">ROUND(E12-F12,1)</f>
        <v>10.9</v>
      </c>
      <c r="H12" s="17" t="n">
        <v>27.7</v>
      </c>
      <c r="I12" s="17" t="n">
        <v>55.6</v>
      </c>
    </row>
    <row r="13" customFormat="false" ht="15" hidden="false" customHeight="false" outlineLevel="0" collapsed="false">
      <c r="A13" s="4" t="s">
        <v>114</v>
      </c>
      <c r="B13" s="17" t="n">
        <v>19.5</v>
      </c>
      <c r="C13" s="24" t="n">
        <f aca="false">Series!J13</f>
        <v>15.2</v>
      </c>
      <c r="D13" s="16" t="n">
        <f aca="false">ROUND(B13-C13,1)</f>
        <v>4.3</v>
      </c>
      <c r="E13" s="17" t="n">
        <v>46</v>
      </c>
      <c r="F13" s="24" t="n">
        <f aca="false">Series!M13</f>
        <v>41.9</v>
      </c>
      <c r="G13" s="16" t="n">
        <f aca="false">ROUND(E13-F13,1)</f>
        <v>4.1</v>
      </c>
      <c r="H13" s="17" t="n">
        <v>23.6</v>
      </c>
      <c r="I13" s="17" t="n">
        <v>55.5</v>
      </c>
    </row>
    <row r="14" customFormat="false" ht="15" hidden="false" customHeight="false" outlineLevel="0" collapsed="false">
      <c r="A14" s="4" t="s">
        <v>116</v>
      </c>
      <c r="B14" s="17" t="n">
        <v>21</v>
      </c>
      <c r="C14" s="24" t="n">
        <f aca="false">Series!J14</f>
        <v>15.9</v>
      </c>
      <c r="D14" s="16" t="n">
        <f aca="false">ROUND(B14-C14,1)</f>
        <v>5.1</v>
      </c>
      <c r="E14" s="17" t="n">
        <v>47</v>
      </c>
      <c r="F14" s="24" t="n">
        <f aca="false">Series!M14</f>
        <v>40.2</v>
      </c>
      <c r="G14" s="16" t="n">
        <f aca="false">ROUND(E14-F14,1)</f>
        <v>6.8</v>
      </c>
      <c r="H14" s="17" t="n">
        <v>19.2</v>
      </c>
      <c r="I14" s="17" t="n">
        <v>53.7</v>
      </c>
    </row>
    <row r="16" customFormat="false" ht="15" hidden="false" customHeight="false" outlineLevel="0" collapsed="false">
      <c r="A16" s="4" t="s">
        <v>597</v>
      </c>
      <c r="D16" s="16" t="n">
        <f aca="false">ROUND(AVERAGE(D5:D14),3)</f>
        <v>6.75</v>
      </c>
      <c r="G16" s="16" t="n">
        <f aca="false">ROUND(AVERAGE(G5:G14),3)</f>
        <v>7.74</v>
      </c>
    </row>
    <row r="17" customFormat="false" ht="15" hidden="false" customHeight="false" outlineLevel="0" collapsed="false">
      <c r="A17" s="4" t="s">
        <v>598</v>
      </c>
      <c r="D17" s="11" t="str">
        <f aca="false">TEXT(MIN(D5:D14),"0.0")&amp;" a "&amp;TEXT(MAX(D5:D14),"0.0")</f>
        <v>3.2 a 11.0</v>
      </c>
      <c r="G17" s="11" t="str">
        <f aca="false">TEXT(MIN(G5:G14),"0.0")&amp;" a "&amp;TEXT(MAX(G5:G14),"0.0")</f>
        <v>4.1 a 10.9</v>
      </c>
    </row>
    <row r="18" customFormat="false" ht="15" hidden="false" customHeight="false" outlineLevel="0" collapsed="false">
      <c r="A18" s="4" t="s">
        <v>599</v>
      </c>
      <c r="B18" s="16" t="n">
        <f aca="false">ROUND(AVERAGE(B5:B8),3)</f>
        <v>20.4</v>
      </c>
      <c r="C18" s="16" t="n">
        <f aca="false">ROUND(AVERAGE(C5:C8),3)</f>
        <v>12.95</v>
      </c>
      <c r="E18" s="16" t="n">
        <f aca="false">ROUND(AVERAGE(E5:E8),3)</f>
        <v>46.475</v>
      </c>
      <c r="F18" s="16" t="n">
        <f aca="false">ROUND(AVERAGE(F5:F8),3)</f>
        <v>38.3</v>
      </c>
      <c r="H18" s="16" t="n">
        <f aca="false">ROUND(AVERAGE(H5:H8),3)</f>
        <v>48.875</v>
      </c>
      <c r="I18" s="16" t="n">
        <f aca="false">ROUND(AVERAGE(I5:I8),3)</f>
        <v>50.325</v>
      </c>
    </row>
    <row r="20" customFormat="false" ht="15" hidden="false" customHeight="false" outlineLevel="0" collapsed="false">
      <c r="A20" s="23" t="s"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60"/>
    <col collapsed="false" customWidth="true" hidden="false" outlineLevel="0" max="4" min="4" style="0" width="18"/>
  </cols>
  <sheetData>
    <row r="1" customFormat="false" ht="17.35" hidden="false" customHeight="false" outlineLevel="0" collapsed="false">
      <c r="A1" s="1" t="s">
        <v>601</v>
      </c>
    </row>
    <row r="2" customFormat="false" ht="15" hidden="false" customHeight="false" outlineLevel="0" collapsed="false">
      <c r="A2" s="2" t="s">
        <v>602</v>
      </c>
    </row>
    <row r="4" customFormat="false" ht="48" hidden="false" customHeight="true" outlineLevel="0" collapsed="false">
      <c r="A4" s="10" t="s">
        <v>603</v>
      </c>
      <c r="B4" s="10" t="s">
        <v>604</v>
      </c>
      <c r="C4" s="10" t="s">
        <v>605</v>
      </c>
      <c r="D4" s="10" t="s">
        <v>606</v>
      </c>
    </row>
    <row r="5" customFormat="false" ht="26.85" hidden="false" customHeight="false" outlineLevel="0" collapsed="false">
      <c r="A5" s="28" t="s">
        <v>607</v>
      </c>
      <c r="B5" s="5" t="s">
        <v>608</v>
      </c>
      <c r="C5" s="5" t="s">
        <v>609</v>
      </c>
      <c r="D5" s="5" t="s">
        <v>610</v>
      </c>
    </row>
    <row r="6" customFormat="false" ht="39.55" hidden="false" customHeight="false" outlineLevel="0" collapsed="false">
      <c r="A6" s="28" t="s">
        <v>611</v>
      </c>
      <c r="B6" s="5" t="s">
        <v>612</v>
      </c>
      <c r="C6" s="5" t="s">
        <v>613</v>
      </c>
      <c r="D6" s="5" t="s">
        <v>614</v>
      </c>
    </row>
    <row r="7" customFormat="false" ht="39.55" hidden="false" customHeight="false" outlineLevel="0" collapsed="false">
      <c r="A7" s="28" t="s">
        <v>615</v>
      </c>
      <c r="B7" s="5" t="s">
        <v>616</v>
      </c>
      <c r="C7" s="5" t="s">
        <v>617</v>
      </c>
      <c r="D7" s="5" t="s">
        <v>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40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619</v>
      </c>
    </row>
    <row r="2" customFormat="false" ht="15" hidden="false" customHeight="false" outlineLevel="0" collapsed="false">
      <c r="A2" s="2" t="s">
        <v>620</v>
      </c>
    </row>
    <row r="4" customFormat="false" ht="48" hidden="false" customHeight="true" outlineLevel="0" collapsed="false">
      <c r="A4" s="10" t="s">
        <v>621</v>
      </c>
      <c r="B4" s="10" t="s">
        <v>622</v>
      </c>
      <c r="C4" s="10" t="s">
        <v>623</v>
      </c>
      <c r="D4" s="10" t="s">
        <v>624</v>
      </c>
      <c r="E4" s="10" t="s">
        <v>625</v>
      </c>
    </row>
    <row r="5" customFormat="false" ht="15" hidden="false" customHeight="false" outlineLevel="0" collapsed="false">
      <c r="A5" s="5" t="s">
        <v>626</v>
      </c>
      <c r="B5" s="5" t="s">
        <v>627</v>
      </c>
      <c r="C5" s="5" t="s">
        <v>627</v>
      </c>
      <c r="D5" s="5" t="s">
        <v>628</v>
      </c>
      <c r="E5" s="5" t="s">
        <v>629</v>
      </c>
    </row>
    <row r="6" customFormat="false" ht="26.85" hidden="false" customHeight="false" outlineLevel="0" collapsed="false">
      <c r="A6" s="5" t="s">
        <v>630</v>
      </c>
      <c r="B6" s="5" t="s">
        <v>631</v>
      </c>
      <c r="C6" s="5" t="s">
        <v>631</v>
      </c>
      <c r="D6" s="5" t="s">
        <v>628</v>
      </c>
      <c r="E6" s="5"/>
    </row>
    <row r="7" customFormat="false" ht="15" hidden="false" customHeight="false" outlineLevel="0" collapsed="false">
      <c r="A7" s="5" t="s">
        <v>632</v>
      </c>
      <c r="B7" s="5" t="s">
        <v>633</v>
      </c>
      <c r="C7" s="5" t="s">
        <v>633</v>
      </c>
      <c r="D7" s="5" t="s">
        <v>628</v>
      </c>
      <c r="E7" s="5" t="s">
        <v>634</v>
      </c>
    </row>
    <row r="8" customFormat="false" ht="26.85" hidden="false" customHeight="false" outlineLevel="0" collapsed="false">
      <c r="A8" s="5" t="s">
        <v>635</v>
      </c>
      <c r="B8" s="5" t="s">
        <v>636</v>
      </c>
      <c r="C8" s="5" t="s">
        <v>636</v>
      </c>
      <c r="D8" s="5" t="s">
        <v>628</v>
      </c>
      <c r="E8" s="5" t="s">
        <v>637</v>
      </c>
    </row>
    <row r="9" customFormat="false" ht="15" hidden="false" customHeight="false" outlineLevel="0" collapsed="false">
      <c r="A9" s="5" t="s">
        <v>638</v>
      </c>
      <c r="B9" s="5" t="s">
        <v>639</v>
      </c>
      <c r="C9" s="5" t="s">
        <v>639</v>
      </c>
      <c r="D9" s="5" t="s">
        <v>628</v>
      </c>
      <c r="E9" s="5"/>
    </row>
    <row r="10" customFormat="false" ht="15" hidden="false" customHeight="false" outlineLevel="0" collapsed="false">
      <c r="A10" s="5" t="s">
        <v>640</v>
      </c>
      <c r="B10" s="5" t="s">
        <v>641</v>
      </c>
      <c r="C10" s="5" t="s">
        <v>642</v>
      </c>
      <c r="D10" s="5" t="s">
        <v>643</v>
      </c>
      <c r="E10" s="5" t="s">
        <v>644</v>
      </c>
    </row>
    <row r="11" customFormat="false" ht="15" hidden="false" customHeight="false" outlineLevel="0" collapsed="false">
      <c r="A11" s="5" t="s">
        <v>645</v>
      </c>
      <c r="B11" s="5" t="s">
        <v>646</v>
      </c>
      <c r="C11" s="5" t="s">
        <v>647</v>
      </c>
      <c r="D11" s="5" t="s">
        <v>643</v>
      </c>
      <c r="E11" s="5" t="s">
        <v>648</v>
      </c>
    </row>
    <row r="12" customFormat="false" ht="15" hidden="false" customHeight="false" outlineLevel="0" collapsed="false">
      <c r="A12" s="5" t="s">
        <v>649</v>
      </c>
      <c r="B12" s="5" t="s">
        <v>650</v>
      </c>
      <c r="C12" s="5" t="s">
        <v>650</v>
      </c>
      <c r="D12" s="5" t="s">
        <v>628</v>
      </c>
      <c r="E12" s="5" t="s">
        <v>651</v>
      </c>
    </row>
    <row r="13" customFormat="false" ht="15" hidden="false" customHeight="false" outlineLevel="0" collapsed="false">
      <c r="A13" s="5" t="s">
        <v>652</v>
      </c>
      <c r="B13" s="5" t="s">
        <v>653</v>
      </c>
      <c r="C13" s="5" t="s">
        <v>653</v>
      </c>
      <c r="D13" s="5" t="s">
        <v>643</v>
      </c>
      <c r="E13" s="5" t="s">
        <v>654</v>
      </c>
    </row>
    <row r="14" customFormat="false" ht="15" hidden="false" customHeight="false" outlineLevel="0" collapsed="false">
      <c r="A14" s="5" t="s">
        <v>655</v>
      </c>
      <c r="B14" s="5" t="s">
        <v>656</v>
      </c>
      <c r="C14" s="5" t="s">
        <v>656</v>
      </c>
      <c r="D14" s="5" t="s">
        <v>628</v>
      </c>
      <c r="E14" s="5" t="s">
        <v>657</v>
      </c>
    </row>
    <row r="15" customFormat="false" ht="39.55" hidden="false" customHeight="false" outlineLevel="0" collapsed="false">
      <c r="A15" s="5" t="s">
        <v>658</v>
      </c>
      <c r="B15" s="5" t="s">
        <v>659</v>
      </c>
      <c r="C15" s="5" t="s">
        <v>660</v>
      </c>
      <c r="D15" s="5" t="s">
        <v>661</v>
      </c>
      <c r="E15" s="5" t="s">
        <v>662</v>
      </c>
    </row>
    <row r="16" customFormat="false" ht="39.55" hidden="false" customHeight="false" outlineLevel="0" collapsed="false">
      <c r="A16" s="5" t="s">
        <v>663</v>
      </c>
      <c r="B16" s="5" t="s">
        <v>664</v>
      </c>
      <c r="C16" s="5" t="s">
        <v>665</v>
      </c>
      <c r="D16" s="5" t="s">
        <v>661</v>
      </c>
      <c r="E16" s="5" t="s">
        <v>666</v>
      </c>
    </row>
    <row r="17" customFormat="false" ht="26.85" hidden="false" customHeight="false" outlineLevel="0" collapsed="false">
      <c r="A17" s="5" t="s">
        <v>667</v>
      </c>
      <c r="B17" s="5" t="s">
        <v>668</v>
      </c>
      <c r="C17" s="5" t="s">
        <v>669</v>
      </c>
      <c r="D17" s="5" t="s">
        <v>661</v>
      </c>
      <c r="E17" s="5" t="s">
        <v>670</v>
      </c>
    </row>
    <row r="18" customFormat="false" ht="15" hidden="false" customHeight="false" outlineLevel="0" collapsed="false">
      <c r="A18" s="5" t="s">
        <v>671</v>
      </c>
      <c r="B18" s="5" t="s">
        <v>672</v>
      </c>
      <c r="C18" s="5" t="s">
        <v>673</v>
      </c>
      <c r="D18" s="5" t="s">
        <v>643</v>
      </c>
      <c r="E18" s="5" t="s">
        <v>674</v>
      </c>
    </row>
    <row r="19" customFormat="false" ht="15" hidden="false" customHeight="false" outlineLevel="0" collapsed="false">
      <c r="A19" s="5" t="s">
        <v>675</v>
      </c>
      <c r="B19" s="5" t="s">
        <v>676</v>
      </c>
      <c r="C19" s="5" t="s">
        <v>676</v>
      </c>
      <c r="D19" s="5" t="s">
        <v>628</v>
      </c>
      <c r="E19" s="5" t="s">
        <v>677</v>
      </c>
    </row>
    <row r="20" customFormat="false" ht="26.85" hidden="false" customHeight="false" outlineLevel="0" collapsed="false">
      <c r="A20" s="5" t="s">
        <v>678</v>
      </c>
      <c r="B20" s="5" t="s">
        <v>636</v>
      </c>
      <c r="C20" s="5" t="s">
        <v>636</v>
      </c>
      <c r="D20" s="5" t="s">
        <v>628</v>
      </c>
      <c r="E20" s="5" t="s">
        <v>679</v>
      </c>
    </row>
    <row r="21" customFormat="false" ht="26.85" hidden="false" customHeight="false" outlineLevel="0" collapsed="false">
      <c r="A21" s="5" t="s">
        <v>680</v>
      </c>
      <c r="B21" s="5" t="s">
        <v>681</v>
      </c>
      <c r="C21" s="5" t="s">
        <v>682</v>
      </c>
      <c r="D21" s="5" t="s">
        <v>628</v>
      </c>
      <c r="E21" s="5" t="s">
        <v>683</v>
      </c>
    </row>
    <row r="22" customFormat="false" ht="26.85" hidden="false" customHeight="false" outlineLevel="0" collapsed="false">
      <c r="A22" s="5" t="s">
        <v>684</v>
      </c>
      <c r="B22" s="5" t="s">
        <v>685</v>
      </c>
      <c r="C22" s="5" t="s">
        <v>686</v>
      </c>
      <c r="D22" s="5" t="s">
        <v>643</v>
      </c>
      <c r="E22" s="5" t="s">
        <v>687</v>
      </c>
    </row>
    <row r="23" customFormat="false" ht="26.85" hidden="false" customHeight="false" outlineLevel="0" collapsed="false">
      <c r="A23" s="5" t="s">
        <v>688</v>
      </c>
      <c r="B23" s="5" t="s">
        <v>689</v>
      </c>
      <c r="C23" s="5" t="s">
        <v>689</v>
      </c>
      <c r="D23" s="5" t="s">
        <v>628</v>
      </c>
      <c r="E23" s="5"/>
    </row>
    <row r="24" customFormat="false" ht="26.85" hidden="false" customHeight="false" outlineLevel="0" collapsed="false">
      <c r="A24" s="5" t="s">
        <v>690</v>
      </c>
      <c r="B24" s="5" t="s">
        <v>691</v>
      </c>
      <c r="C24" s="5" t="s">
        <v>691</v>
      </c>
      <c r="D24" s="5" t="s">
        <v>628</v>
      </c>
      <c r="E24" s="5" t="s">
        <v>692</v>
      </c>
    </row>
    <row r="25" customFormat="false" ht="15" hidden="false" customHeight="false" outlineLevel="0" collapsed="false">
      <c r="A25" s="5" t="s">
        <v>693</v>
      </c>
      <c r="B25" s="5" t="s">
        <v>694</v>
      </c>
      <c r="C25" s="5" t="s">
        <v>694</v>
      </c>
      <c r="D25" s="5" t="s">
        <v>628</v>
      </c>
      <c r="E25" s="5" t="s">
        <v>695</v>
      </c>
    </row>
    <row r="28" customFormat="false" ht="15" hidden="false" customHeight="false" outlineLevel="0" collapsed="false">
      <c r="A28" s="3" t="s">
        <v>696</v>
      </c>
    </row>
    <row r="29" customFormat="false" ht="48" hidden="false" customHeight="true" outlineLevel="0" collapsed="false">
      <c r="A29" s="10" t="s">
        <v>697</v>
      </c>
      <c r="B29" s="10" t="s">
        <v>698</v>
      </c>
      <c r="C29" s="10" t="s">
        <v>699</v>
      </c>
      <c r="D29" s="10" t="s">
        <v>624</v>
      </c>
      <c r="E29" s="10" t="s">
        <v>625</v>
      </c>
    </row>
    <row r="30" customFormat="false" ht="26.85" hidden="false" customHeight="false" outlineLevel="0" collapsed="false">
      <c r="A30" s="5" t="s">
        <v>700</v>
      </c>
      <c r="B30" s="5" t="s">
        <v>701</v>
      </c>
      <c r="C30" s="5" t="s">
        <v>702</v>
      </c>
      <c r="D30" s="5" t="s">
        <v>703</v>
      </c>
      <c r="E30" s="5"/>
    </row>
    <row r="31" customFormat="false" ht="26.85" hidden="false" customHeight="false" outlineLevel="0" collapsed="false">
      <c r="A31" s="5" t="s">
        <v>704</v>
      </c>
      <c r="B31" s="5" t="s">
        <v>705</v>
      </c>
      <c r="C31" s="5" t="s">
        <v>17</v>
      </c>
      <c r="D31" s="5" t="s">
        <v>703</v>
      </c>
      <c r="E31" s="5"/>
    </row>
    <row r="32" customFormat="false" ht="15" hidden="false" customHeight="false" outlineLevel="0" collapsed="false">
      <c r="A32" s="5" t="s">
        <v>706</v>
      </c>
      <c r="B32" s="5" t="s">
        <v>707</v>
      </c>
      <c r="C32" s="5" t="s">
        <v>708</v>
      </c>
      <c r="D32" s="5" t="s">
        <v>703</v>
      </c>
      <c r="E32" s="5"/>
    </row>
    <row r="33" customFormat="false" ht="15" hidden="false" customHeight="false" outlineLevel="0" collapsed="false">
      <c r="A33" s="5" t="s">
        <v>709</v>
      </c>
      <c r="B33" s="5" t="s">
        <v>710</v>
      </c>
      <c r="C33" s="5" t="s">
        <v>5</v>
      </c>
      <c r="D33" s="5" t="s">
        <v>703</v>
      </c>
      <c r="E33" s="5"/>
    </row>
    <row r="34" customFormat="false" ht="15" hidden="false" customHeight="false" outlineLevel="0" collapsed="false">
      <c r="A34" s="5" t="s">
        <v>711</v>
      </c>
      <c r="B34" s="5" t="s">
        <v>712</v>
      </c>
      <c r="C34" s="5" t="s">
        <v>9</v>
      </c>
      <c r="D34" s="5" t="s">
        <v>703</v>
      </c>
      <c r="E34" s="5"/>
    </row>
    <row r="35" customFormat="false" ht="26.85" hidden="false" customHeight="false" outlineLevel="0" collapsed="false">
      <c r="A35" s="5" t="s">
        <v>713</v>
      </c>
      <c r="B35" s="5" t="s">
        <v>714</v>
      </c>
      <c r="C35" s="5" t="s">
        <v>9</v>
      </c>
      <c r="D35" s="5" t="s">
        <v>703</v>
      </c>
      <c r="E35" s="5" t="s">
        <v>715</v>
      </c>
    </row>
    <row r="36" customFormat="false" ht="26.85" hidden="false" customHeight="false" outlineLevel="0" collapsed="false">
      <c r="A36" s="5" t="s">
        <v>716</v>
      </c>
      <c r="B36" s="5" t="s">
        <v>717</v>
      </c>
      <c r="C36" s="5" t="s">
        <v>718</v>
      </c>
      <c r="D36" s="5" t="s">
        <v>719</v>
      </c>
      <c r="E36" s="5" t="s">
        <v>720</v>
      </c>
    </row>
    <row r="37" customFormat="false" ht="26.85" hidden="false" customHeight="false" outlineLevel="0" collapsed="false">
      <c r="A37" s="5" t="s">
        <v>721</v>
      </c>
      <c r="B37" s="5" t="s">
        <v>722</v>
      </c>
      <c r="C37" s="5" t="s">
        <v>723</v>
      </c>
      <c r="D37" s="5" t="s">
        <v>724</v>
      </c>
      <c r="E37" s="5" t="s">
        <v>725</v>
      </c>
    </row>
    <row r="38" customFormat="false" ht="15" hidden="false" customHeight="false" outlineLevel="0" collapsed="false">
      <c r="A38" s="5" t="s">
        <v>726</v>
      </c>
      <c r="B38" s="5" t="s">
        <v>727</v>
      </c>
      <c r="C38" s="5" t="s">
        <v>9</v>
      </c>
      <c r="D38" s="5" t="s">
        <v>703</v>
      </c>
      <c r="E38" s="5"/>
    </row>
    <row r="39" customFormat="false" ht="39.55" hidden="false" customHeight="false" outlineLevel="0" collapsed="false">
      <c r="A39" s="5" t="s">
        <v>728</v>
      </c>
      <c r="B39" s="5" t="s">
        <v>729</v>
      </c>
      <c r="C39" s="5" t="s">
        <v>11</v>
      </c>
      <c r="D39" s="5" t="s">
        <v>730</v>
      </c>
      <c r="E39" s="5"/>
    </row>
    <row r="40" customFormat="false" ht="26.85" hidden="false" customHeight="false" outlineLevel="0" collapsed="false">
      <c r="A40" s="5" t="s">
        <v>731</v>
      </c>
      <c r="B40" s="5" t="s">
        <v>732</v>
      </c>
      <c r="C40" s="5" t="s">
        <v>733</v>
      </c>
      <c r="D40" s="5" t="s">
        <v>703</v>
      </c>
      <c r="E40" s="5" t="s">
        <v>734</v>
      </c>
    </row>
    <row r="41" customFormat="false" ht="15" hidden="false" customHeight="false" outlineLevel="0" collapsed="false">
      <c r="A41" s="5" t="s">
        <v>735</v>
      </c>
      <c r="B41" s="5" t="s">
        <v>736</v>
      </c>
      <c r="C41" s="5" t="s">
        <v>13</v>
      </c>
      <c r="D41" s="5" t="s">
        <v>703</v>
      </c>
      <c r="E41" s="5"/>
    </row>
    <row r="42" customFormat="false" ht="26.85" hidden="false" customHeight="false" outlineLevel="0" collapsed="false">
      <c r="A42" s="5" t="s">
        <v>737</v>
      </c>
      <c r="B42" s="5" t="s">
        <v>738</v>
      </c>
      <c r="C42" s="5" t="s">
        <v>5</v>
      </c>
      <c r="D42" s="5" t="s">
        <v>724</v>
      </c>
      <c r="E42" s="5"/>
    </row>
    <row r="43" customFormat="false" ht="26.85" hidden="false" customHeight="false" outlineLevel="0" collapsed="false">
      <c r="A43" s="5" t="s">
        <v>739</v>
      </c>
      <c r="B43" s="5" t="s">
        <v>740</v>
      </c>
      <c r="C43" s="5" t="s">
        <v>741</v>
      </c>
      <c r="D43" s="5" t="s">
        <v>703</v>
      </c>
      <c r="E43" s="5"/>
    </row>
    <row r="44" customFormat="false" ht="26.85" hidden="false" customHeight="false" outlineLevel="0" collapsed="false">
      <c r="A44" s="5" t="s">
        <v>742</v>
      </c>
      <c r="B44" s="5" t="s">
        <v>743</v>
      </c>
      <c r="C44" s="5" t="s">
        <v>744</v>
      </c>
      <c r="D44" s="5" t="s">
        <v>703</v>
      </c>
      <c r="E44" s="5"/>
    </row>
    <row r="45" customFormat="false" ht="39.55" hidden="false" customHeight="false" outlineLevel="0" collapsed="false">
      <c r="A45" s="5" t="s">
        <v>745</v>
      </c>
      <c r="B45" s="5" t="s">
        <v>746</v>
      </c>
      <c r="C45" s="5" t="s">
        <v>747</v>
      </c>
      <c r="D45" s="5" t="s">
        <v>703</v>
      </c>
      <c r="E45" s="5"/>
    </row>
    <row r="47" customFormat="false" ht="15" hidden="false" customHeight="false" outlineLevel="0" collapsed="false">
      <c r="A47" s="3" t="s">
        <v>748</v>
      </c>
    </row>
    <row r="48" customFormat="false" ht="26.85" hidden="false" customHeight="false" outlineLevel="0" collapsed="false">
      <c r="A48" s="5" t="s">
        <v>749</v>
      </c>
      <c r="B48" s="11" t="s">
        <v>750</v>
      </c>
      <c r="C48" s="11" t="s">
        <v>751</v>
      </c>
      <c r="D48" s="11" t="s">
        <v>628</v>
      </c>
      <c r="E48" s="5" t="s">
        <v>752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70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753</v>
      </c>
    </row>
    <row r="2" customFormat="false" ht="15" hidden="false" customHeight="false" outlineLevel="0" collapsed="false">
      <c r="A2" s="2" t="s">
        <v>754</v>
      </c>
    </row>
    <row r="4" customFormat="false" ht="48" hidden="false" customHeight="true" outlineLevel="0" collapsed="false">
      <c r="A4" s="10" t="s">
        <v>755</v>
      </c>
      <c r="B4" s="10" t="s">
        <v>756</v>
      </c>
      <c r="C4" s="10" t="s">
        <v>757</v>
      </c>
    </row>
    <row r="5" customFormat="false" ht="15" hidden="false" customHeight="false" outlineLevel="0" collapsed="false">
      <c r="A5" s="11" t="s">
        <v>758</v>
      </c>
      <c r="B5" s="11" t="s">
        <v>759</v>
      </c>
      <c r="C5" s="11" t="s">
        <v>760</v>
      </c>
    </row>
    <row r="6" customFormat="false" ht="15" hidden="false" customHeight="false" outlineLevel="0" collapsed="false">
      <c r="A6" s="11" t="s">
        <v>761</v>
      </c>
      <c r="B6" s="11" t="s">
        <v>762</v>
      </c>
      <c r="C6" s="11" t="s">
        <v>763</v>
      </c>
    </row>
    <row r="7" customFormat="false" ht="15" hidden="false" customHeight="false" outlineLevel="0" collapsed="false">
      <c r="A7" s="11" t="s">
        <v>764</v>
      </c>
      <c r="B7" s="11" t="s">
        <v>765</v>
      </c>
      <c r="C7" s="11" t="s">
        <v>766</v>
      </c>
    </row>
    <row r="8" customFormat="false" ht="15" hidden="false" customHeight="false" outlineLevel="0" collapsed="false">
      <c r="A8" s="11" t="s">
        <v>767</v>
      </c>
      <c r="B8" s="11" t="s">
        <v>768</v>
      </c>
      <c r="C8" s="11" t="s">
        <v>769</v>
      </c>
    </row>
    <row r="9" customFormat="false" ht="15" hidden="false" customHeight="false" outlineLevel="0" collapsed="false">
      <c r="A9" s="11" t="s">
        <v>770</v>
      </c>
      <c r="B9" s="11" t="s">
        <v>771</v>
      </c>
      <c r="C9" s="11" t="s">
        <v>772</v>
      </c>
    </row>
    <row r="10" customFormat="false" ht="15" hidden="false" customHeight="false" outlineLevel="0" collapsed="false">
      <c r="A10" s="11" t="s">
        <v>773</v>
      </c>
      <c r="B10" s="11" t="s">
        <v>774</v>
      </c>
      <c r="C10" s="11" t="s">
        <v>775</v>
      </c>
    </row>
    <row r="11" customFormat="false" ht="15" hidden="false" customHeight="false" outlineLevel="0" collapsed="false">
      <c r="A11" s="11" t="s">
        <v>776</v>
      </c>
      <c r="B11" s="11" t="s">
        <v>777</v>
      </c>
      <c r="C11" s="11" t="s">
        <v>778</v>
      </c>
    </row>
    <row r="12" customFormat="false" ht="15" hidden="false" customHeight="false" outlineLevel="0" collapsed="false">
      <c r="A12" s="11" t="s">
        <v>779</v>
      </c>
      <c r="B12" s="11" t="s">
        <v>780</v>
      </c>
      <c r="C12" s="11" t="s">
        <v>781</v>
      </c>
    </row>
    <row r="13" customFormat="false" ht="15" hidden="false" customHeight="false" outlineLevel="0" collapsed="false">
      <c r="A13" s="11" t="s">
        <v>782</v>
      </c>
      <c r="B13" s="11" t="s">
        <v>783</v>
      </c>
      <c r="C13" s="11" t="s">
        <v>784</v>
      </c>
    </row>
    <row r="14" customFormat="false" ht="15" hidden="false" customHeight="false" outlineLevel="0" collapsed="false">
      <c r="A14" s="11" t="s">
        <v>785</v>
      </c>
      <c r="B14" s="11" t="s">
        <v>786</v>
      </c>
      <c r="C14" s="11" t="s">
        <v>787</v>
      </c>
    </row>
    <row r="15" customFormat="false" ht="15" hidden="false" customHeight="false" outlineLevel="0" collapsed="false">
      <c r="A15" s="11" t="s">
        <v>788</v>
      </c>
      <c r="B15" s="11" t="s">
        <v>789</v>
      </c>
      <c r="C15" s="11" t="s">
        <v>790</v>
      </c>
    </row>
    <row r="16" customFormat="false" ht="15" hidden="false" customHeight="false" outlineLevel="0" collapsed="false">
      <c r="A16" s="11" t="s">
        <v>791</v>
      </c>
      <c r="B16" s="11" t="s">
        <v>789</v>
      </c>
      <c r="C16" s="11" t="s">
        <v>792</v>
      </c>
    </row>
    <row r="17" customFormat="false" ht="15" hidden="false" customHeight="false" outlineLevel="0" collapsed="false">
      <c r="A17" s="11" t="s">
        <v>793</v>
      </c>
      <c r="B17" s="11" t="s">
        <v>794</v>
      </c>
      <c r="C17" s="11" t="s">
        <v>795</v>
      </c>
    </row>
    <row r="18" customFormat="false" ht="15" hidden="false" customHeight="false" outlineLevel="0" collapsed="false">
      <c r="A18" s="11" t="s">
        <v>796</v>
      </c>
      <c r="B18" s="11" t="s">
        <v>797</v>
      </c>
      <c r="C18" s="11" t="s">
        <v>798</v>
      </c>
    </row>
    <row r="19" customFormat="false" ht="15" hidden="false" customHeight="false" outlineLevel="0" collapsed="false">
      <c r="A19" s="11" t="s">
        <v>799</v>
      </c>
      <c r="B19" s="11" t="s">
        <v>800</v>
      </c>
      <c r="C19" s="11" t="s">
        <v>801</v>
      </c>
    </row>
    <row r="20" customFormat="false" ht="15" hidden="false" customHeight="false" outlineLevel="0" collapsed="false">
      <c r="A20" s="11" t="s">
        <v>802</v>
      </c>
      <c r="B20" s="11" t="s">
        <v>803</v>
      </c>
      <c r="C20" s="11" t="s">
        <v>804</v>
      </c>
    </row>
    <row r="21" customFormat="false" ht="15" hidden="false" customHeight="false" outlineLevel="0" collapsed="false">
      <c r="A21" s="11" t="s">
        <v>805</v>
      </c>
      <c r="B21" s="11" t="s">
        <v>806</v>
      </c>
      <c r="C21" s="11" t="s">
        <v>807</v>
      </c>
    </row>
    <row r="22" customFormat="false" ht="15" hidden="false" customHeight="false" outlineLevel="0" collapsed="false">
      <c r="A22" s="11" t="s">
        <v>808</v>
      </c>
      <c r="B22" s="11" t="s">
        <v>809</v>
      </c>
      <c r="C22" s="11" t="s">
        <v>810</v>
      </c>
    </row>
    <row r="23" customFormat="false" ht="15" hidden="false" customHeight="false" outlineLevel="0" collapsed="false">
      <c r="A23" s="11" t="s">
        <v>811</v>
      </c>
      <c r="B23" s="11" t="s">
        <v>812</v>
      </c>
      <c r="C23" s="11" t="s">
        <v>813</v>
      </c>
    </row>
    <row r="24" customFormat="false" ht="15" hidden="false" customHeight="false" outlineLevel="0" collapsed="false">
      <c r="A24" s="11" t="s">
        <v>814</v>
      </c>
      <c r="B24" s="11" t="s">
        <v>815</v>
      </c>
      <c r="C24" s="11" t="s">
        <v>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2026-10-15T00:24:28Z</dcterms:created>
  <dc:creator>openpyxl</dc:creator>
  <dc:description/>
  <dc:language>en-US</dc:language>
  <cp:lastModifiedBy/>
  <dcterms:modified xsi:type="dcterms:W3CDTF">2026-10-15T00:24:31Z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