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Series" sheetId="2" state="visible" r:id="rId4"/>
    <sheet name="Serie completa 2020-2026" sheetId="3" state="visible" r:id="rId5"/>
    <sheet name="Resumen anual" sheetId="4" state="visible" r:id="rId6"/>
    <sheet name="Por tamaño" sheetId="5" state="visible" r:id="rId7"/>
    <sheet name="Rechazo y costo" sheetId="6" state="visible" r:id="rId8"/>
    <sheet name="Variables" sheetId="7" state="visible" r:id="rId9"/>
    <sheet name="Hipótesis" sheetId="8" state="visible" r:id="rId10"/>
    <sheet name="Datos de imágenes" sheetId="9" state="visible" r:id="rId11"/>
    <sheet name="Estadísticas" sheetId="10" state="visible" r:id="rId12"/>
    <sheet name="Muestra anterior" sheetId="11" state="visible" r:id="rId13"/>
    <sheet name="Pendientes" sheetId="12" state="visible" r:id="rId14"/>
    <sheet name="Verificación" sheetId="13" state="visible" r:id="rId15"/>
    <sheet name="Fuente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<sst xmlns="http://schemas.openxmlformats.org/spreadsheetml/2006/main" count="1176" uniqueCount="641">
  <si>
    <t xml:space="preserve">Financiamiento a las empresas en México 2020-2026 — base de datos</t>
  </si>
  <si>
    <t xml:space="preserve">Encuesta Trimestral de Evaluación Coyuntural del Mercado Crediticio (Banxico). Versión corregida, octubre 2026.</t>
  </si>
  <si>
    <t xml:space="preserve">Qué contiene</t>
  </si>
  <si>
    <t xml:space="preserve">Series</t>
  </si>
  <si>
    <t xml:space="preserve">Base trimestral del diseño muestral vigente, IV-2020 a III-2026 (III-2026 pendiente de publicación).</t>
  </si>
  <si>
    <t xml:space="preserve">Serie completa 2020-2026</t>
  </si>
  <si>
    <t xml:space="preserve">Los 27 trimestres de I-2020 a III-2026. I a III de 2020 vienen de la muestra anterior; desde IV-2020, del diseño vigente. Incluye línea de tendencia.</t>
  </si>
  <si>
    <t xml:space="preserve">Resumen anual</t>
  </si>
  <si>
    <t xml:space="preserve">Promedio de los trimestres de cada año, 2020-2026, más el dato del IV trimestre para mostrar que no es acumulado.</t>
  </si>
  <si>
    <t xml:space="preserve">Por tamaño</t>
  </si>
  <si>
    <t xml:space="preserve">Cuadro A gran empresa (más de 100 empleados), Cuadro B pequeñas y medianas (11 a 100), Cuadro C brecha por año. Con gráficas.</t>
  </si>
  <si>
    <t xml:space="preserve">Rechazo y costo</t>
  </si>
  <si>
    <t xml:space="preserve">Tasa de rechazo e índice de costo (tasas de interés), trimestral y anual, total y por tamaño.</t>
  </si>
  <si>
    <t xml:space="preserve">Variables</t>
  </si>
  <si>
    <t xml:space="preserve">Qué mide cada variable, en qué unidad está y si es acumulada.</t>
  </si>
  <si>
    <t xml:space="preserve">Hipótesis</t>
  </si>
  <si>
    <t xml:space="preserve">Hipótesis 2020-2026 y lo que dicen los datos.</t>
  </si>
  <si>
    <t xml:space="preserve">Datos de imágenes</t>
  </si>
  <si>
    <t xml:space="preserve">Base de datos detrás de cada gráfica de los documentos Word, con su fuente.</t>
  </si>
  <si>
    <t xml:space="preserve">Estadísticas</t>
  </si>
  <si>
    <t xml:space="preserve">Promedio, desviación, tendencia, correlación con la tasa y fases de política monetaria.</t>
  </si>
  <si>
    <t xml:space="preserve">Muestra anterior</t>
  </si>
  <si>
    <t xml:space="preserve">Comparación de la muestra anterior (≥450 empresas) con el diseño vigente.</t>
  </si>
  <si>
    <t xml:space="preserve">Pendientes</t>
  </si>
  <si>
    <t xml:space="preserve">Datos que faltan, por qué y dónde descargarlos.</t>
  </si>
  <si>
    <t xml:space="preserve">Verificación / Fuentes</t>
  </si>
  <si>
    <t xml:space="preserve">Control de cifras y comunicados usados.</t>
  </si>
  <si>
    <t xml:space="preserve">Cómo leer los colores</t>
  </si>
  <si>
    <t xml:space="preserve">Azul</t>
  </si>
  <si>
    <t xml:space="preserve">Dato capturado de la fuente (comunicado de Banxico o nota citada).</t>
  </si>
  <si>
    <t xml:space="preserve">Negro</t>
  </si>
  <si>
    <t xml:space="preserve">Fórmula calculada en el libro.</t>
  </si>
  <si>
    <t xml:space="preserve">Verde</t>
  </si>
  <si>
    <t xml:space="preserve">Vínculo a otra hoja del libro.</t>
  </si>
  <si>
    <t xml:space="preserve">Amarillo</t>
  </si>
  <si>
    <t xml:space="preserve">Celda pendiente: el dato aún no se publica o no se pudo descargar. Al capturarlo, las fórmulas se actualizan solas.</t>
  </si>
  <si>
    <t xml:space="preserve">Unidades</t>
  </si>
  <si>
    <t xml:space="preserve">Porcentajes</t>
  </si>
  <si>
    <t xml:space="preserve">Casi todas las variables son % de empresas que respondieron la encuesta en ese trimestre (no son montos de crédito).</t>
  </si>
  <si>
    <t xml:space="preserve">Índices de difusión</t>
  </si>
  <si>
    <t xml:space="preserve">Escala 0-100. Arriba de 50 = las empresas ven condiciones mejores (más baratas) que el trimestre anterior; abajo de 50 = peores.</t>
  </si>
  <si>
    <t xml:space="preserve">pp</t>
  </si>
  <si>
    <t xml:space="preserve">Puntos porcentuales: diferencia entre dos porcentajes.</t>
  </si>
  <si>
    <t xml:space="preserve">¿Acumulado?</t>
  </si>
  <si>
    <t xml:space="preserve">No. Cada trimestre mide solo lo que pasó en ese trimestre. El IV trimestre no es el acumulado del año; el dato anual es el promedio de los trimestres.</t>
  </si>
  <si>
    <t xml:space="preserve">Encuesta Trimestral de Evaluación Coyuntural del Mercado Crediticio (Banxico) — diseño muestral vigente, IV-2020 a III-2026</t>
  </si>
  <si>
    <t xml:space="preserve">Cifras en % de empresas, salvo tasas (%) e índices de difusión (0-100). Datos del trimestre, no acumulados. III-2026 se publica el 19-nov-2026.</t>
  </si>
  <si>
    <t xml:space="preserve">Trimestre</t>
  </si>
  <si>
    <t xml:space="preserve">Año</t>
  </si>
  <si>
    <t xml:space="preserve">Trim.</t>
  </si>
  <si>
    <t xml:space="preserve">Fase de política</t>
  </si>
  <si>
    <t xml:space="preserve">Índice</t>
  </si>
  <si>
    <t xml:space="preserve">Tasa objetivo Banxico fin de trimestre (%)</t>
  </si>
  <si>
    <t xml:space="preserve">TIIE 28 días fin de trimestre (%) — pendiente SIE</t>
  </si>
  <si>
    <t xml:space="preserve">Usaron nuevo crédito bancario</t>
  </si>
  <si>
    <t xml:space="preserve">Promedio móvil 4T nuevo crédito</t>
  </si>
  <si>
    <t xml:space="preserve">No solicitaron crédito</t>
  </si>
  <si>
    <t xml:space="preserve">Con crédito bancario al inicio — total</t>
  </si>
  <si>
    <t xml:space="preserve">Con crédito — hasta 100 empl.</t>
  </si>
  <si>
    <t xml:space="preserve">Con crédito — más de 100 empl.</t>
  </si>
  <si>
    <t xml:space="preserve">Brecha con crédito por tamaño (pp)</t>
  </si>
  <si>
    <t xml:space="preserve">Nuevo crédito — hasta 100 empl.</t>
  </si>
  <si>
    <t xml:space="preserve">Nuevo crédito — más de 100 empl.</t>
  </si>
  <si>
    <t xml:space="preserve">Brecha nuevo crédito por tamaño (pp)</t>
  </si>
  <si>
    <t xml:space="preserve">Condiciones: ninguna limitante</t>
  </si>
  <si>
    <t xml:space="preserve">Limitante menor</t>
  </si>
  <si>
    <t xml:space="preserve">Limitante mayor</t>
  </si>
  <si>
    <t xml:space="preserve">Fuente: proveedores</t>
  </si>
  <si>
    <t xml:space="preserve">Fuente: banca comercial</t>
  </si>
  <si>
    <t xml:space="preserve">Banca comercial — hasta 100 empl.</t>
  </si>
  <si>
    <t xml:space="preserve">Banca comercial — más de 100 empl.</t>
  </si>
  <si>
    <t xml:space="preserve">Fuente: grupo corporativo</t>
  </si>
  <si>
    <t xml:space="preserve">Solicitaron, en proceso</t>
  </si>
  <si>
    <t xml:space="preserve">Solicitaron y rechazado</t>
  </si>
  <si>
    <t xml:space="preserve">Rechazado — hasta 100 empl. (pendiente)</t>
  </si>
  <si>
    <t xml:space="preserve">Rechazado — más de 100 empl. (pendiente)</t>
  </si>
  <si>
    <t xml:space="preserve">Rechazaron por caro</t>
  </si>
  <si>
    <t xml:space="preserve">Tasa de rechazo (rechazado / (rechazado + nuevo))</t>
  </si>
  <si>
    <t xml:space="preserve">Tasa de rechazo — hasta 100 empl.</t>
  </si>
  <si>
    <t xml:space="preserve">Tasa de rechazo — más de 100 empl.</t>
  </si>
  <si>
    <t xml:space="preserve">ID costo: tasas de interés</t>
  </si>
  <si>
    <t xml:space="preserve">ID tasas — hasta 100 empl.</t>
  </si>
  <si>
    <t xml:space="preserve">ID tasas — más de 100 empl.</t>
  </si>
  <si>
    <t xml:space="preserve">ID costo: comisiones</t>
  </si>
  <si>
    <t xml:space="preserve">Esperan pedir crédito bancario próx. trimestre</t>
  </si>
  <si>
    <t xml:space="preserve">Problema más apremiante: ventas</t>
  </si>
  <si>
    <t xml:space="preserve">Problema: acceso al financiamiento</t>
  </si>
  <si>
    <t xml:space="preserve">Limitante: tasas de interés (% de quienes no usaron)</t>
  </si>
  <si>
    <t xml:space="preserve">Limitante: situación económica general (% de quienes no usaron)</t>
  </si>
  <si>
    <t xml:space="preserve">Empresas que respondieron</t>
  </si>
  <si>
    <t xml:space="preserve">Nota del renglón</t>
  </si>
  <si>
    <t xml:space="preserve">IV-20</t>
  </si>
  <si>
    <t xml:space="preserve">2020</t>
  </si>
  <si>
    <t xml:space="preserve">1 Pre-alzas</t>
  </si>
  <si>
    <t xml:space="preserve">I-21</t>
  </si>
  <si>
    <t xml:space="preserve">2021</t>
  </si>
  <si>
    <t xml:space="preserve">II-21</t>
  </si>
  <si>
    <t xml:space="preserve">2 Alzas</t>
  </si>
  <si>
    <t xml:space="preserve">III-21</t>
  </si>
  <si>
    <t xml:space="preserve">IV-21</t>
  </si>
  <si>
    <t xml:space="preserve">I-22</t>
  </si>
  <si>
    <t xml:space="preserve">2022</t>
  </si>
  <si>
    <t xml:space="preserve">II-22</t>
  </si>
  <si>
    <t xml:space="preserve">III-22</t>
  </si>
  <si>
    <t xml:space="preserve">IV-22</t>
  </si>
  <si>
    <t xml:space="preserve">I-23</t>
  </si>
  <si>
    <t xml:space="preserve">2023</t>
  </si>
  <si>
    <t xml:space="preserve">II-23</t>
  </si>
  <si>
    <t xml:space="preserve">3 Meseta 11.25%</t>
  </si>
  <si>
    <t xml:space="preserve">III-23</t>
  </si>
  <si>
    <t xml:space="preserve">IV-23</t>
  </si>
  <si>
    <t xml:space="preserve">I-24</t>
  </si>
  <si>
    <t xml:space="preserve">2024</t>
  </si>
  <si>
    <t xml:space="preserve">4 Recortes</t>
  </si>
  <si>
    <t xml:space="preserve">Nuevo crédito por tamaño tomado de la cobertura de prensa del comunicado I-2024 (ver Fuentes).</t>
  </si>
  <si>
    <t xml:space="preserve">II-24</t>
  </si>
  <si>
    <t xml:space="preserve">III-24</t>
  </si>
  <si>
    <t xml:space="preserve">IV-24</t>
  </si>
  <si>
    <t xml:space="preserve">I-25</t>
  </si>
  <si>
    <t xml:space="preserve">2025</t>
  </si>
  <si>
    <t xml:space="preserve">II-25</t>
  </si>
  <si>
    <t xml:space="preserve">III-25</t>
  </si>
  <si>
    <t xml:space="preserve">IV-25</t>
  </si>
  <si>
    <t xml:space="preserve">I-26</t>
  </si>
  <si>
    <t xml:space="preserve">2026</t>
  </si>
  <si>
    <t xml:space="preserve">Nuevo crédito por tamaño: Yahoo Noticias con datos del comunicado I-2026 (ver Fuentes).</t>
  </si>
  <si>
    <t xml:space="preserve">II-26</t>
  </si>
  <si>
    <t xml:space="preserve">ID tasas y banca comercial por tamaño: texto del comunicado II-2026.</t>
  </si>
  <si>
    <t xml:space="preserve">III-26</t>
  </si>
  <si>
    <t xml:space="preserve">5 Pausa 6.50%</t>
  </si>
  <si>
    <t xml:space="preserve">Encuesta julio-septiembre 2026: Banxico la publica el 19-nov-2026. Solo se conoce la tasa objetivo (6.50%, decisión del 24-sep-2026).</t>
  </si>
  <si>
    <t xml:space="preserve">Amarillo = pendiente. TIIE: descargar del SIE de Banxico (serie SF43783, TIIE a 28 días) el último día hábil de cada trimestre. Rechazo por tamaño: cuadro 2 de cada comunicado / SIE CF910. III-2026: comunicado del 19-nov-2026.</t>
  </si>
  <si>
    <t xml:space="preserve">Nuevo crédito por tamaño: se capturó de los comunicados II y IV de cada año y de la cobertura de prensa de I-24 e I-26; los demás trimestres quedan vacíos hasta descargarlos del SIE.</t>
  </si>
  <si>
    <t xml:space="preserve">Los porcentajes son del trimestre (no acumulados). La tasa de rechazo usa como aprobadas a las empresas que usaron crédito nuevo.</t>
  </si>
  <si>
    <t xml:space="preserve">Fuente: Banxico, comunicados 'Evolución trimestral del financiamiento a las empresas', diseño vigente, IV-2020 a II-2026. Puntos = trimestre; línea azul = promedio móvil de 4 trimestres; línea punteada = tendencia lineal. Datos: columnas H e I de esta hoja.</t>
  </si>
  <si>
    <t xml:space="preserve">Serie completa 2020-2026: los 27 trimestres, de I-2020 a III-2026</t>
  </si>
  <si>
    <t xml:space="preserve">I-III 2020 = muestra anterior (Banxico no recalculó esos trimestres con el diseño vigente). IV-2020 en adelante = diseño vigente. % de empresas del trimestre.</t>
  </si>
  <si>
    <t xml:space="preserve">Muestra</t>
  </si>
  <si>
    <t xml:space="preserve">Tasa objetivo fin de trimestre (%)</t>
  </si>
  <si>
    <t xml:space="preserve">TIIE 28 días (%) — pendiente</t>
  </si>
  <si>
    <t xml:space="preserve">Usaron nuevo crédito bancario (%)</t>
  </si>
  <si>
    <t xml:space="preserve">Con crédito al inicio (%)</t>
  </si>
  <si>
    <t xml:space="preserve">ID tasas de interés (índice)*</t>
  </si>
  <si>
    <t xml:space="preserve">Sin limitante (%)</t>
  </si>
  <si>
    <t xml:space="preserve">Nuevo crédito — diseño vigente (para gráfica)</t>
  </si>
  <si>
    <t xml:space="preserve">Nuevo crédito — muestra anterior (referencia)</t>
  </si>
  <si>
    <t xml:space="preserve">Tendencia lineal IV-20 a II-26</t>
  </si>
  <si>
    <t xml:space="preserve">Tendencia lineal desde I-23</t>
  </si>
  <si>
    <t xml:space="preserve">I-20</t>
  </si>
  <si>
    <t xml:space="preserve">Anterior (≥450 emp.)</t>
  </si>
  <si>
    <t xml:space="preserve">II-20</t>
  </si>
  <si>
    <t xml:space="preserve">III-20</t>
  </si>
  <si>
    <t xml:space="preserve">Vigente</t>
  </si>
  <si>
    <t xml:space="preserve">* ID tasas: muestra anterior de I-20 a II-22 (el diseño vigente publica el índice desde III-22). Índice &gt; 50 = crédito más barato; &lt; 50 = más caro.</t>
  </si>
  <si>
    <t xml:space="preserve">Columnas N y O: rectas de mínimos cuadrados sobre el diseño vigente. En todo el periodo la tendencia es casi plana (2021 fue bajo); desde I-23 la pendiente es negativa.</t>
  </si>
  <si>
    <t xml:space="preserve">Pendiente de la tendencia</t>
  </si>
  <si>
    <t xml:space="preserve">IV-20 a II-26</t>
  </si>
  <si>
    <t xml:space="preserve">Desde I-23</t>
  </si>
  <si>
    <t xml:space="preserve">pp por trimestre</t>
  </si>
  <si>
    <t xml:space="preserve">pp por año</t>
  </si>
  <si>
    <t xml:space="preserve">Fuente: Banxico, comunicados de la Encuesta de Evaluación Coyuntural del Mercado Crediticio: muestra anterior (I-2020 a II-2022) y diseño vigente (IV-2020 a II-2026). Líneas punteadas = tendencia lineal del diseño vigente (todo el periodo y desde I-23). Datos: columnas L a O de esta hoja.</t>
  </si>
  <si>
    <t xml:space="preserve">Fuente: Banxico, cuadro 2 de los comunicados; muestra anterior I-2020 a II-2022, diseño vigente III-2022 a II-2026. Datos: columna J de esta hoja.</t>
  </si>
  <si>
    <t xml:space="preserve">Resumen anual 2020-2026 (promedio simple de los trimestres de cada año)</t>
  </si>
  <si>
    <t xml:space="preserve">2020 se muestra en dos renglones: muestra anterior (los 4 trimestres) y diseño vigente (solo IV-20). 2026 = I y II trimestre; III se publica el 19-nov-2026.</t>
  </si>
  <si>
    <t xml:space="preserve">Muestra / trimestres</t>
  </si>
  <si>
    <t xml:space="preserve">Trimestres con dato</t>
  </si>
  <si>
    <t xml:space="preserve">Usaron nuevo crédito (promedio)</t>
  </si>
  <si>
    <t xml:space="preserve">Nuevo crédito, solo IV trimestre (no acumulado)</t>
  </si>
  <si>
    <t xml:space="preserve">Con crédito al inicio — total</t>
  </si>
  <si>
    <t xml:space="preserve">Brecha con crédito (pp)</t>
  </si>
  <si>
    <t xml:space="preserve">Brecha nuevo crédito (pp)</t>
  </si>
  <si>
    <t xml:space="preserve">Tasa de rechazo</t>
  </si>
  <si>
    <t xml:space="preserve">TIIE 28 días (%)</t>
  </si>
  <si>
    <t xml:space="preserve">Etiqueta para gráfica</t>
  </si>
  <si>
    <t xml:space="preserve">Muestra anterior (I-IV)</t>
  </si>
  <si>
    <t xml:space="preserve">n.d.</t>
  </si>
  <si>
    <t xml:space="preserve">2020 ant.</t>
  </si>
  <si>
    <t xml:space="preserve">Diseño vigente (solo IV)</t>
  </si>
  <si>
    <t xml:space="preserve">2020 vig. (IV)</t>
  </si>
  <si>
    <t xml:space="preserve">Diseño vigente</t>
  </si>
  <si>
    <t xml:space="preserve">Diseño vigente (I-II; III pendiente)</t>
  </si>
  <si>
    <t xml:space="preserve">2026 (I-II)</t>
  </si>
  <si>
    <t xml:space="preserve">n.d. = sin dato publicado en los comunicados revisados. Nuevo crédito por tamaño: promedio de los trimestres con dato (ver hoja Por tamaño).</t>
  </si>
  <si>
    <t xml:space="preserve">¿Acumulado? No: el IV trimestre (columna E) mide solo octubre-diciembre. Por eso el dato anual es el promedio de los trimestres (columna D), no el IV trimestre.</t>
  </si>
  <si>
    <t xml:space="preserve">2020: la muestra anterior y el diseño vigente no son comparables en nivel (la anterior da ~5.8 pp más de crédito nuevo). Para la tendencia 2021-2026 usar solo el diseño vigente.</t>
  </si>
  <si>
    <t xml:space="preserve">Tasa objetivo y TIIE de 2026 incluyen III-26 (la tasa ya se conoce: 6.50%); las variables de la encuesta solo I y II.</t>
  </si>
  <si>
    <t xml:space="preserve">Fuente: Banxico, comunicados de la Encuesta de Evaluación Coyuntural del Mercado Crediticio (muestra anterior para 2020 I-IV; diseño vigente IV-2020 a II-2026). Promedio simple de trimestres; barra gris = dato del IV trimestre. Datos: columnas D y E de esta hoja.</t>
  </si>
  <si>
    <t xml:space="preserve">Gran empresa vs pequeñas y medianas, 2020-2026</t>
  </si>
  <si>
    <t xml:space="preserve">Banxico divide por número de empleados: 'hasta 100' (11 a 100; pequeñas y parte de las medianas) y 'más de 100' (resto de medianas y grandes). % de empresas de cada tamaño.</t>
  </si>
  <si>
    <t xml:space="preserve">Cuadro A. Gran empresa (más de 100 empleados)</t>
  </si>
  <si>
    <t xml:space="preserve">Cuadro B. Pequeñas y medianas (11 a 100 empleados)</t>
  </si>
  <si>
    <t xml:space="preserve">Usaron nuevo crédito (%)</t>
  </si>
  <si>
    <t xml:space="preserve">ID tasas de interés (índice)</t>
  </si>
  <si>
    <t xml:space="preserve">Banca comercial como fuente (%)</t>
  </si>
  <si>
    <t xml:space="preserve">Tasa de rechazo (%)</t>
  </si>
  <si>
    <t xml:space="preserve">n.d. = no publicado en los comunicados revisados o pendiente de descargar del SIE (CF910). I-III 2020: la muestra anterior no se capturó por tamaño. III-2026: se publica el 19-nov-2026.</t>
  </si>
  <si>
    <t xml:space="preserve">Cuadro C. Resumen anual por tamaño y brecha (promedio de trimestres con dato)</t>
  </si>
  <si>
    <t xml:space="preserve">Con crédito — hasta 100 (%)</t>
  </si>
  <si>
    <t xml:space="preserve">Con crédito — más de 100 (%)</t>
  </si>
  <si>
    <t xml:space="preserve">Nuevo crédito — hasta 100 (%)</t>
  </si>
  <si>
    <t xml:space="preserve">Nuevo crédito — más de 100 (%)</t>
  </si>
  <si>
    <t xml:space="preserve">Trimestres con dato de nuevo crédito por tamaño</t>
  </si>
  <si>
    <t xml:space="preserve">ID tasas — hasta 100</t>
  </si>
  <si>
    <t xml:space="preserve">ID tasas — más de 100</t>
  </si>
  <si>
    <t xml:space="preserve">2020 = solo IV-20 (diseño vigente). 2026 = I y II trimestre. Brecha = más de 100 menos hasta 100. La brecha de nuevo crédito por año usa solo los trimestres con dato (columna H).</t>
  </si>
  <si>
    <t xml:space="preserve">Fuente: Banxico, comunicados de la encuesta, diseño vigente IV-2020 a II-2026. Líneas punteadas = tendencia lineal de cada tamaño. Datos: hoja Series, columnas L y M.</t>
  </si>
  <si>
    <t xml:space="preserve">Fuente: Banxico, comunicados IV-2022 a II-2026 (trimestres II y IV) y prensa que cita los comunicados I-2024 e I-2026. Datos: hoja Series, columnas O y P.</t>
  </si>
  <si>
    <t xml:space="preserve">Fuente: Cálculo propio con datos de Banxico (diseño vigente). Datos: Cuadro C de esta hoja (filas 37-43).</t>
  </si>
  <si>
    <t xml:space="preserve">Rechazo y costo percibido del crédito, 2020-2026: total, pymes y grandes</t>
  </si>
  <si>
    <t xml:space="preserve">Tasa de rechazo = rechazadas / (rechazadas + empresas que usaron crédito nuevo). ID tasas: índice de difusión (&lt;50 = más caro). Datos del trimestre, no acumulados.</t>
  </si>
  <si>
    <t xml:space="preserve">Cuadro A. Trimestral</t>
  </si>
  <si>
    <t xml:space="preserve">Solicitaron y rechazado (% de empresas)</t>
  </si>
  <si>
    <t xml:space="preserve">Tasa de rechazo — total</t>
  </si>
  <si>
    <t xml:space="preserve">Tasa de rechazo — hasta 100</t>
  </si>
  <si>
    <t xml:space="preserve">Tasa de rechazo — más de 100</t>
  </si>
  <si>
    <t xml:space="preserve">ID tasas — total*</t>
  </si>
  <si>
    <t xml:space="preserve">ID comisiones — total</t>
  </si>
  <si>
    <t xml:space="preserve">Anterior</t>
  </si>
  <si>
    <t xml:space="preserve">Anterior (ID tasas)</t>
  </si>
  <si>
    <t xml:space="preserve">* ID tasas total: muestra anterior de I-20 a II-22 y diseño vigente desde III-22. Rechazo: el diseño vigente lo publica desde III-22. Por tamaño: solo se tiene el texto del comunicado II-2026 (ID tasas 35.3 vs 53.7); el rechazo por tamaño está pendiente de descargar (SIE CF910).</t>
  </si>
  <si>
    <t xml:space="preserve">Cuadro B. Anual 2020-2026 (promedio de trimestres con dato)</t>
  </si>
  <si>
    <t xml:space="preserve">ID tasas — total</t>
  </si>
  <si>
    <t xml:space="preserve">Nota</t>
  </si>
  <si>
    <t xml:space="preserve">ID tasas: muestra anterior (4 trimestres). Rechazo: no publicado en el diseño vigente.</t>
  </si>
  <si>
    <t xml:space="preserve">ID tasas: muestra anterior. Rechazo: no publicado en el diseño vigente.</t>
  </si>
  <si>
    <t xml:space="preserve">ID tasas: I-II muestra anterior, III-IV diseño vigente. Rechazo: solo III y IV.</t>
  </si>
  <si>
    <t xml:space="preserve">I y II trimestre; III se publica el 19-nov-2026. Por tamaño: solo II-26.</t>
  </si>
  <si>
    <t xml:space="preserve">Fuente: Banxico, cuadro 2 de los comunicados III-2022 a II-2026; cálculo propio. Datos: hoja Series, columna de tasa de rechazo.</t>
  </si>
  <si>
    <t xml:space="preserve">Fuente: Banxico, cuadro 2 de los comunicados; muestra anterior I-2020 a II-2022 y diseño vigente III-2022 a II-2026. Datos: columna H del Cuadro A.</t>
  </si>
  <si>
    <t xml:space="preserve">Qué es cada variable, en qué unidad está y si es acumulada</t>
  </si>
  <si>
    <t xml:space="preserve">Fuente de las definiciones: comunicados y nota metodológica de Banxico. Todas las preguntas se refieren al trimestre de referencia.</t>
  </si>
  <si>
    <t xml:space="preserve">Variable</t>
  </si>
  <si>
    <t xml:space="preserve">Qué mide</t>
  </si>
  <si>
    <t xml:space="preserve">Unidad</t>
  </si>
  <si>
    <t xml:space="preserve">¿Acumulada?</t>
  </si>
  <si>
    <t xml:space="preserve">Periodo con dato</t>
  </si>
  <si>
    <t xml:space="preserve">Dónde está en el libro</t>
  </si>
  <si>
    <t xml:space="preserve">Empresas que obtuvieron y usaron crédito bancario nuevo durante el trimestre (flujo).</t>
  </si>
  <si>
    <t xml:space="preserve">% de empresas</t>
  </si>
  <si>
    <t xml:space="preserve">No: solo el trimestre</t>
  </si>
  <si>
    <t xml:space="preserve">I-20 a II-26 (I-III 20 muestra anterior)</t>
  </si>
  <si>
    <t xml:space="preserve">Series col. H; Serie completa col. H</t>
  </si>
  <si>
    <t xml:space="preserve">Con crédito bancario al inicio del trimestre</t>
  </si>
  <si>
    <t xml:space="preserve">Empresas que ya tenían crédito bancario vigente al empezar el trimestre (saldo, foto del momento).</t>
  </si>
  <si>
    <t xml:space="preserve">No: es una foto, no una suma</t>
  </si>
  <si>
    <t xml:space="preserve">I-20 a II-26</t>
  </si>
  <si>
    <t xml:space="preserve">Series col. K-M</t>
  </si>
  <si>
    <t xml:space="preserve">Empresas que no pidieron crédito bancario nuevo en el trimestre.</t>
  </si>
  <si>
    <t xml:space="preserve">No</t>
  </si>
  <si>
    <t xml:space="preserve">Series col. J</t>
  </si>
  <si>
    <t xml:space="preserve">Hasta 100 / más de 100 empleados</t>
  </si>
  <si>
    <t xml:space="preserve">Corte por tamaño de Banxico. La encuesta cubre empresas de más de 10 empleados; 'hasta 100' = 11 a 100 (pequeñas y parte de las medianas), 'más de 100' = resto de medianas y grandes.</t>
  </si>
  <si>
    <t xml:space="preserve">% de empresas de ese tamaño</t>
  </si>
  <si>
    <t xml:space="preserve">Con crédito: IV-20 a II-26; nuevo crédito: trimestres con dato</t>
  </si>
  <si>
    <t xml:space="preserve">Brecha por tamaño</t>
  </si>
  <si>
    <t xml:space="preserve">Más de 100 menos hasta 100 empleados.</t>
  </si>
  <si>
    <t xml:space="preserve">Puntos porcentuales (pp)</t>
  </si>
  <si>
    <t xml:space="preserve">Series col. N y Q</t>
  </si>
  <si>
    <t xml:space="preserve">Condiciones: ninguna / menor / mayor limitante</t>
  </si>
  <si>
    <t xml:space="preserve">Cómo califican las empresas las condiciones de acceso al crédito bancario.</t>
  </si>
  <si>
    <t xml:space="preserve">% de empresas (suman 100)</t>
  </si>
  <si>
    <t xml:space="preserve">Series col. R-T</t>
  </si>
  <si>
    <t xml:space="preserve">Fuentes de financiamiento</t>
  </si>
  <si>
    <t xml:space="preserve">Empresas que usaron cada fuente (proveedores, banca comercial, grupo corporativo, etc.). Respuesta múltiple: no suman 100.</t>
  </si>
  <si>
    <t xml:space="preserve">III-22 a II-26</t>
  </si>
  <si>
    <t xml:space="preserve">Series col. U-Y</t>
  </si>
  <si>
    <t xml:space="preserve">Empresas cuya solicitud de crédito fue rechazada en el trimestre.</t>
  </si>
  <si>
    <t xml:space="preserve">% del total de empresas</t>
  </si>
  <si>
    <t xml:space="preserve">Series col. AA</t>
  </si>
  <si>
    <t xml:space="preserve">Rechazadas / (rechazadas + empresas que usaron crédito nuevo). Cálculo propio.</t>
  </si>
  <si>
    <t xml:space="preserve">% de solicitudes resueltas</t>
  </si>
  <si>
    <t xml:space="preserve">Series col. AE; Rechazo y costo</t>
  </si>
  <si>
    <t xml:space="preserve">Índice de difusión de costo (tasas, comisiones)</t>
  </si>
  <si>
    <t xml:space="preserve">Saldo de opiniones de quienes usaron crédito nuevo: &gt;50 = más barato que el trimestre previo, &lt;50 = más caro.</t>
  </si>
  <si>
    <t xml:space="preserve">Índice 0-100</t>
  </si>
  <si>
    <t xml:space="preserve">No: compara con el trimestre anterior</t>
  </si>
  <si>
    <t xml:space="preserve">Tasas: I-20 a II-26 (hasta II-22 muestra anterior)</t>
  </si>
  <si>
    <t xml:space="preserve">Series col. AH-AK</t>
  </si>
  <si>
    <t xml:space="preserve">Problema más apremiante</t>
  </si>
  <si>
    <t xml:space="preserve">Problema principal que reporta la empresa (ventas, acceso al financiamiento, etc.).</t>
  </si>
  <si>
    <t xml:space="preserve">Series col. AM-AN</t>
  </si>
  <si>
    <t xml:space="preserve">Limitantes para no usar crédito</t>
  </si>
  <si>
    <t xml:space="preserve">Entre quienes no usaron crédito, % que señala cada limitante (tasas, situación económica). Respuesta múltiple.</t>
  </si>
  <si>
    <t xml:space="preserve">% de quienes no usaron</t>
  </si>
  <si>
    <t xml:space="preserve">Series col. AO-AP</t>
  </si>
  <si>
    <t xml:space="preserve">Tasa objetivo Banxico</t>
  </si>
  <si>
    <t xml:space="preserve">Tasa de política monetaria al cierre del trimestre.</t>
  </si>
  <si>
    <t xml:space="preserve">% anual</t>
  </si>
  <si>
    <t xml:space="preserve">No: nivel al cierre</t>
  </si>
  <si>
    <t xml:space="preserve">I-20 a III-26</t>
  </si>
  <si>
    <t xml:space="preserve">Series col. F</t>
  </si>
  <si>
    <t xml:space="preserve">TIIE 28 días</t>
  </si>
  <si>
    <t xml:space="preserve">Tasa de Interés Interbancaria de Equilibrio a 28 días, referencia de muchos créditos a empresas (desde 2025 los créditos nuevos usan la TIIE de Fondeo).</t>
  </si>
  <si>
    <t xml:space="preserve">Pendiente de descargar (SIE SF43783)</t>
  </si>
  <si>
    <t xml:space="preserve">Series col. G</t>
  </si>
  <si>
    <t xml:space="preserve">Promedio anual</t>
  </si>
  <si>
    <t xml:space="preserve">Promedio simple de los trimestres del año con dato.</t>
  </si>
  <si>
    <t xml:space="preserve">Igual que la variable</t>
  </si>
  <si>
    <t xml:space="preserve">Es un promedio, no una suma</t>
  </si>
  <si>
    <t xml:space="preserve">2020-2026</t>
  </si>
  <si>
    <t xml:space="preserve">Respuesta a '¿la información es acumulada?': no. Cada comunicado trimestral reporta lo que pasó en ese trimestre; el IV trimestre no es el total del año. Para un dato anual se promedian los trimestres (hoja Resumen anual).</t>
  </si>
  <si>
    <t xml:space="preserve">Hipótesis 2020-2026 y resultado preliminar</t>
  </si>
  <si>
    <t xml:space="preserve">Cada hipótesis se prueba con las series de este libro. 'Pendiente' = falta el dato para probarla.</t>
  </si>
  <si>
    <t xml:space="preserve">#</t>
  </si>
  <si>
    <t xml:space="preserve">Indicador</t>
  </si>
  <si>
    <t xml:space="preserve">Dato clave (fórmula)</t>
  </si>
  <si>
    <t xml:space="preserve">Resultado preliminar</t>
  </si>
  <si>
    <t xml:space="preserve">H1</t>
  </si>
  <si>
    <t xml:space="preserve">Entre 2020 y 2026 cae el flujo de crédito bancario nuevo a empresas, mientras el saldo (empresas con crédito) se mantiene.</t>
  </si>
  <si>
    <t xml:space="preserve">Usaron nuevo crédito; con crédito al inicio</t>
  </si>
  <si>
    <t xml:space="preserve">Se sostiene desde 2023. En 2020 la caída fue por la pandemia (muestra anterior: 24.2% en I-20 a 16.8% en IV-20).</t>
  </si>
  <si>
    <t xml:space="preserve">H2</t>
  </si>
  <si>
    <t xml:space="preserve">La caída se concentra en las empresas de 11 a 100 empleados; las de más de 100 mantienen su acceso y la brecha se abre.</t>
  </si>
  <si>
    <t xml:space="preserve">Brecha por tamaño (con crédito y nuevo crédito)</t>
  </si>
  <si>
    <t xml:space="preserve">Se sostiene: la brecha sube cada año desde 2023 y en II-26 el nuevo crédito de pymes (9.9%) es menos de la mitad que el de grandes (21.6%).</t>
  </si>
  <si>
    <t xml:space="preserve">H3</t>
  </si>
  <si>
    <t xml:space="preserve">Los recortes de Banxico (2024-2026) no se tradujeron en más crédito nuevo ni en un costo percibido menor.</t>
  </si>
  <si>
    <t xml:space="preserve">Nuevo crédito por fase; ID tasas; TIIE</t>
  </si>
  <si>
    <t xml:space="preserve">Se sostiene en parte: el costo percibido mejoró hasta III-25 (49.0) y volvió a empeorar en 2026 (39.4). La TIIE falta de capturar.</t>
  </si>
  <si>
    <t xml:space="preserve">H4</t>
  </si>
  <si>
    <t xml:space="preserve">En 2026 los bancos endurecieron la oferta: sube el rechazo y pega más a las pymes.</t>
  </si>
  <si>
    <t xml:space="preserve">Tasa de rechazo, total y por tamaño</t>
  </si>
  <si>
    <t xml:space="preserve">Primera parte se sostiene (22.5% y 24.3% en I y II-26). Por tamaño: pendiente (falta el rechazo por tamaño).</t>
  </si>
  <si>
    <t xml:space="preserve">H5</t>
  </si>
  <si>
    <t xml:space="preserve">La restricción principal es de demanda (ventas, situación económica), no de acceso al crédito.</t>
  </si>
  <si>
    <t xml:space="preserve">Problema más apremiante; no solicitaron</t>
  </si>
  <si>
    <t xml:space="preserve">Se sostiene.</t>
  </si>
  <si>
    <t xml:space="preserve">H6</t>
  </si>
  <si>
    <t xml:space="preserve">Las empresas exportadoras tienen más acceso a crédito bancario que las no exportadoras.</t>
  </si>
  <si>
    <t xml:space="preserve">Nuevo crédito y con crédito por actividad exportadora</t>
  </si>
  <si>
    <t xml:space="preserve">Pendiente</t>
  </si>
  <si>
    <t xml:space="preserve">Pendiente: el corte por exportadoras no está en los datos capturados (ver hoja Pendientes).</t>
  </si>
  <si>
    <t xml:space="preserve">Base de datos de las gráficas de los documentos</t>
  </si>
  <si>
    <t xml:space="preserve">Para cada imagen: qué muestra, dónde están sus datos en este libro y la fuente original.</t>
  </si>
  <si>
    <t xml:space="preserve">Figura</t>
  </si>
  <si>
    <t xml:space="preserve">Documento</t>
  </si>
  <si>
    <t xml:space="preserve">Qué muestra</t>
  </si>
  <si>
    <t xml:space="preserve">Datos en</t>
  </si>
  <si>
    <t xml:space="preserve">Fuente original</t>
  </si>
  <si>
    <t xml:space="preserve">SS2 · Figura 1</t>
  </si>
  <si>
    <t xml:space="preserve">Servicio social 2, sección 2</t>
  </si>
  <si>
    <t xml:space="preserve">Fuentes a las que acudieron las empresas que pidieron financiamiento, 2022-2024 (% de solicitantes, respuesta múltiple)</t>
  </si>
  <si>
    <t xml:space="preserve">Esta hoja, tabla ENAFIN (abajo)</t>
  </si>
  <si>
    <t xml:space="preserve">INEGI-CNBV, ENAFIN 2024, reporte de resultados (28-may-2025)</t>
  </si>
  <si>
    <t xml:space="preserve">SS2 · Figura 2 = Banxico · Gráfica 1</t>
  </si>
  <si>
    <t xml:space="preserve">Ambos documentos (crédito nuevo)</t>
  </si>
  <si>
    <t xml:space="preserve">Crédito bancario nuevo 2020-2026 por trimestre y tendencia lineal desde I-23</t>
  </si>
  <si>
    <t xml:space="preserve">Serie completa 2020-2026, col. L-O</t>
  </si>
  <si>
    <t xml:space="preserve">Banxico, comunicados de la encuesta (muestra anterior y diseño vigente)</t>
  </si>
  <si>
    <t xml:space="preserve">Banxico · Gráfica 2</t>
  </si>
  <si>
    <t xml:space="preserve">Banxico (crédito nuevo)</t>
  </si>
  <si>
    <t xml:space="preserve">Crédito nuevo por año 2020-2026: promedio de trimestres vs IV trimestre</t>
  </si>
  <si>
    <t xml:space="preserve">Resumen anual, col. D-E</t>
  </si>
  <si>
    <t xml:space="preserve">Banxico, comunicados de la encuesta</t>
  </si>
  <si>
    <t xml:space="preserve">SS2 · Figura 3 = Banxico · Gráfica 3</t>
  </si>
  <si>
    <t xml:space="preserve">Ambos documentos (brecha)</t>
  </si>
  <si>
    <t xml:space="preserve">Con crédito y crédito nuevo por tamaño: pymes vs grandes, con tendencia</t>
  </si>
  <si>
    <t xml:space="preserve">Series, col. L-M y O-P</t>
  </si>
  <si>
    <t xml:space="preserve">Banxico, comunicados de la encuesta, diseño vigente</t>
  </si>
  <si>
    <t xml:space="preserve">Banxico · Gráfica 4</t>
  </si>
  <si>
    <t xml:space="preserve">Banxico (brecha)</t>
  </si>
  <si>
    <t xml:space="preserve">Brecha por tamaño por año 2020-2026</t>
  </si>
  <si>
    <t xml:space="preserve">Por tamaño, Cuadro C</t>
  </si>
  <si>
    <t xml:space="preserve">Cálculo propio con datos de Banxico</t>
  </si>
  <si>
    <t xml:space="preserve">Banxico · Gráfica 5</t>
  </si>
  <si>
    <t xml:space="preserve">Banxico (rechazo y costo)</t>
  </si>
  <si>
    <t xml:space="preserve">Tasa de rechazo trimestral e índice de costo 2020-2026</t>
  </si>
  <si>
    <t xml:space="preserve">Rechazo y costo, Cuadro A</t>
  </si>
  <si>
    <t xml:space="preserve">Banxico, cuadro 2 de los comunicados; cálculo propio</t>
  </si>
  <si>
    <t xml:space="preserve">Tabla ENAFIN (SS2 · Figura 1)</t>
  </si>
  <si>
    <t xml:space="preserve">Fuente a la que acudió</t>
  </si>
  <si>
    <t xml:space="preserve">% de empresas solicitantes</t>
  </si>
  <si>
    <t xml:space="preserve">Bancos / banca comercial</t>
  </si>
  <si>
    <t xml:space="preserve">Proveedores</t>
  </si>
  <si>
    <t xml:space="preserve">Familiares o amistades</t>
  </si>
  <si>
    <t xml:space="preserve">Uniones de crédito</t>
  </si>
  <si>
    <t xml:space="preserve">Banca de desarrollo</t>
  </si>
  <si>
    <t xml:space="preserve">Crowdfunding</t>
  </si>
  <si>
    <t xml:space="preserve">Fuente: INEGI-CNBV, Encuesta Nacional de Financiamiento de las Empresas (ENAFIN) 2024, reporte de resultados del 28 de mayo de 2025. Empresas con 6 o más personas ocupadas en localidades de 50 mil habitantes o más. https://www.inegi.org.mx/contenidos/saladeprensa/boletines/2025/enafin/ENAFIN_24_RR.pdf</t>
  </si>
  <si>
    <t xml:space="preserve">Estadísticos del nuevo crédito bancario y relación con la tasa</t>
  </si>
  <si>
    <t xml:space="preserve">Diseño vigente, IV-2020 al último trimestre publicado (II-2026). Las celdas vacías de III-2026 se ignoran.</t>
  </si>
  <si>
    <t xml:space="preserve">Valor</t>
  </si>
  <si>
    <t xml:space="preserve">Promedio IV-20 a II-26</t>
  </si>
  <si>
    <t xml:space="preserve">Desviación estándar</t>
  </si>
  <si>
    <t xml:space="preserve">Mínimo</t>
  </si>
  <si>
    <t xml:space="preserve">Trimestre del mínimo</t>
  </si>
  <si>
    <t xml:space="preserve">Lugar de II-26 (1 = más bajo)</t>
  </si>
  <si>
    <t xml:space="preserve">Máximo</t>
  </si>
  <si>
    <t xml:space="preserve">Pendiente desde I-23 (pp por año)</t>
  </si>
  <si>
    <t xml:space="preserve">Correlación nuevo crédito vs tasa (mismo trimestre)</t>
  </si>
  <si>
    <t xml:space="preserve">Correlación con tasa rezagada 1 trimestre</t>
  </si>
  <si>
    <t xml:space="preserve">Error de muestreo 95% de un trimestre (pp, muestreo aleatorio simple, n=650, p=promedio)</t>
  </si>
  <si>
    <t xml:space="preserve">Brecha por tamaño máxima (pp)</t>
  </si>
  <si>
    <t xml:space="preserve">Trimestre de la brecha máxima</t>
  </si>
  <si>
    <t xml:space="preserve">El error real es mayor: la encuesta usa factores de expansión y estratos (efecto de diseño &gt; 1).</t>
  </si>
  <si>
    <t xml:space="preserve">Fase de política monetaria</t>
  </si>
  <si>
    <t xml:space="preserve">Nuevo crédito promedio</t>
  </si>
  <si>
    <t xml:space="preserve">Tasa promedio fin de trimestre</t>
  </si>
  <si>
    <t xml:space="preserve">Sin limitante promedio</t>
  </si>
  <si>
    <t xml:space="preserve">Periodo</t>
  </si>
  <si>
    <t xml:space="preserve">IV-20 a I-21 (tasa 4.00-4.25%)</t>
  </si>
  <si>
    <t xml:space="preserve">II-21 a I-23 (15 alzas, 4.25% → 11.25%)</t>
  </si>
  <si>
    <t xml:space="preserve">II-23 a IV-23</t>
  </si>
  <si>
    <t xml:space="preserve">I-24 a II-26 (11.00% → 6.50%)</t>
  </si>
  <si>
    <t xml:space="preserve">III-26 (encuesta pendiente: 19-nov-2026)</t>
  </si>
  <si>
    <t xml:space="preserve">Las alzas empezaron en junio de 2021 (II-21). Correlación positiva no implica causalidad: incluye la recuperación pospandemia.</t>
  </si>
  <si>
    <t xml:space="preserve">Muestra anterior (≥450 empresas) vs diseño vigente — trimestres traslapados</t>
  </si>
  <si>
    <t xml:space="preserve">La muestra anterior es la única que cubre I a III de 2020. Sirve para ver la dirección; no se empalma en niveles con el diseño vigente.</t>
  </si>
  <si>
    <t xml:space="preserve">Nuevo crédito — muestra anterior</t>
  </si>
  <si>
    <t xml:space="preserve">Nuevo crédito — diseño vigente</t>
  </si>
  <si>
    <t xml:space="preserve">Diferencia (pp)</t>
  </si>
  <si>
    <t xml:space="preserve">Con crédito — muestra anterior</t>
  </si>
  <si>
    <t xml:space="preserve">Con crédito — diseño vigente</t>
  </si>
  <si>
    <t xml:space="preserve">ID tasas — muestra anterior</t>
  </si>
  <si>
    <t xml:space="preserve">Sin limitante — muestra anterior</t>
  </si>
  <si>
    <t xml:space="preserve">Promedio dif.</t>
  </si>
  <si>
    <t xml:space="preserve">Rango dif.</t>
  </si>
  <si>
    <t xml:space="preserve">Promedio 2020 (I-IV), muestra anterior</t>
  </si>
  <si>
    <t xml:space="preserve">Fuente: Banxico, comunicados I-2021 (series I-19 a I-21) y II-2022 (II-20 a II-22), muestra anterior; diseño vigente: hoja Series.</t>
  </si>
  <si>
    <t xml:space="preserve">Datos pendientes y dónde obtenerlos</t>
  </si>
  <si>
    <t xml:space="preserve">Al capturar estos datos en las celdas amarillas de la hoja Series, todas las tablas y gráficas se actualizan.</t>
  </si>
  <si>
    <t xml:space="preserve">Dato</t>
  </si>
  <si>
    <t xml:space="preserve">Por qué falta</t>
  </si>
  <si>
    <t xml:space="preserve">Dónde obtenerlo</t>
  </si>
  <si>
    <t xml:space="preserve">Cuándo</t>
  </si>
  <si>
    <t xml:space="preserve">Encuesta III-2026 (julio-septiembre)</t>
  </si>
  <si>
    <t xml:space="preserve">Banxico aún no la publica.</t>
  </si>
  <si>
    <t xml:space="preserve">Comunicado 'Evolución trimestral del financiamiento a las empresas', julio-septiembre 2026</t>
  </si>
  <si>
    <t xml:space="preserve">19-nov-2026, 9:00 h</t>
  </si>
  <si>
    <t xml:space="preserve">TIIE 28 días por trimestre 2020-2026</t>
  </si>
  <si>
    <t xml:space="preserve">No se pudo descargar del SIE en esta revisión.</t>
  </si>
  <si>
    <t xml:space="preserve">SIE de Banxico, serie SF43783 (TIIE a 28 días); tomar el último día hábil de cada trimestre</t>
  </si>
  <si>
    <t xml:space="preserve">Disponible</t>
  </si>
  <si>
    <t xml:space="preserve">Nuevo crédito por tamaño en trimestres I y III (2021-2025)</t>
  </si>
  <si>
    <t xml:space="preserve">Solo se capturaron los comunicados de II y IV trimestre, más I-24 e I-26.</t>
  </si>
  <si>
    <t xml:space="preserve">SIE CF910 o comunicados de mayo y noviembre de cada año (cuadro 2)</t>
  </si>
  <si>
    <t xml:space="preserve">Tasa de rechazo por tamaño</t>
  </si>
  <si>
    <t xml:space="preserve">No se capturó del cuadro 2.</t>
  </si>
  <si>
    <t xml:space="preserve">Cuadro 2 de cada comunicado (columnas por tamaño) / SIE CF910</t>
  </si>
  <si>
    <t xml:space="preserve">ID tasas y banca comercial por tamaño (antes de II-26)</t>
  </si>
  <si>
    <t xml:space="preserve">Solo se tiene el texto de II-26.</t>
  </si>
  <si>
    <t xml:space="preserve">Cuadros 1 y 2 de cada comunicado / SIE CF910</t>
  </si>
  <si>
    <t xml:space="preserve">Componente de exportaciones</t>
  </si>
  <si>
    <t xml:space="preserve">El corte exportadoras / no exportadoras no está en los datos capturados; la muestra anterior lo publicaba y hay que confirmar si el diseño vigente lo conserva.</t>
  </si>
  <si>
    <t xml:space="preserve">SIE CF910 (buscar series por actividad exportadora) y cuadros de los comunicados</t>
  </si>
  <si>
    <t xml:space="preserve">Por verificar</t>
  </si>
  <si>
    <t xml:space="preserve">2020 I-III por tamaño</t>
  </si>
  <si>
    <t xml:space="preserve">La muestra anterior usaba otros estratos de tamaño y no se capturaron.</t>
  </si>
  <si>
    <t xml:space="preserve">Comunicado I-2021 (muestra anterior), cuadros por tamaño</t>
  </si>
  <si>
    <t xml:space="preserve">Verificación de las cifras y de las correcciones</t>
  </si>
  <si>
    <t xml:space="preserve">Parte 1: cifras del análisis previo. Parte 2: correcciones del asesor (octubre 2026).</t>
  </si>
  <si>
    <t xml:space="preserve">Afirmación del análisis previo</t>
  </si>
  <si>
    <t xml:space="preserve">Valor citado</t>
  </si>
  <si>
    <t xml:space="preserve">Valor verificado</t>
  </si>
  <si>
    <t xml:space="preserve">Estado</t>
  </si>
  <si>
    <t xml:space="preserve">Comentario</t>
  </si>
  <si>
    <t xml:space="preserve">Nuevo crédito promedio 2021-2026 y desv. est.</t>
  </si>
  <si>
    <t xml:space="preserve">13.9 / 2.1</t>
  </si>
  <si>
    <t xml:space="preserve">Correcto</t>
  </si>
  <si>
    <t xml:space="preserve">Coincide con la serie del diseño vigente.</t>
  </si>
  <si>
    <t xml:space="preserve">11.2% es el 3er valor más bajo (tras 9.0 IV-21 y 11.0 II-21)</t>
  </si>
  <si>
    <t xml:space="preserve">3º</t>
  </si>
  <si>
    <t xml:space="preserve">Brecha máxima por tamaño 19.1 pp en IV-21</t>
  </si>
  <si>
    <t xml:space="preserve">19.1</t>
  </si>
  <si>
    <t xml:space="preserve">54.4% grandes vs 35.3% chicas.</t>
  </si>
  <si>
    <t xml:space="preserve">Resumen anual (nuevo crédito, con crédito por tamaño, sin limitante)</t>
  </si>
  <si>
    <t xml:space="preserve">tabla</t>
  </si>
  <si>
    <t xml:space="preserve">Todos los promedios coinciden (ver hoja Resumen anual).</t>
  </si>
  <si>
    <t xml:space="preserve">Tendencia desde I-23</t>
  </si>
  <si>
    <t xml:space="preserve">-1.0 pp/año</t>
  </si>
  <si>
    <t xml:space="preserve">Grandes con crédito en 2021: 52-54%</t>
  </si>
  <si>
    <t xml:space="preserve">52-54</t>
  </si>
  <si>
    <t xml:space="preserve">48.6-54.4</t>
  </si>
  <si>
    <t xml:space="preserve">Matizar</t>
  </si>
  <si>
    <t xml:space="preserve">II-21 fue 48.6%.</t>
  </si>
  <si>
    <t xml:space="preserve">Fuentes de crédito: proveedores 58-65%</t>
  </si>
  <si>
    <t xml:space="preserve">58-65</t>
  </si>
  <si>
    <t xml:space="preserve">56.4-64.9</t>
  </si>
  <si>
    <t xml:space="preserve">III-25 bajó a 56.4%.</t>
  </si>
  <si>
    <t xml:space="preserve">Banca comercial pasó de 32.3% (IV-23) a 24.5%</t>
  </si>
  <si>
    <t xml:space="preserve">32.3 → 24.5</t>
  </si>
  <si>
    <t xml:space="preserve">24.5% es el nivel más bajo desde III-22.</t>
  </si>
  <si>
    <t xml:space="preserve">Ventas subió de 29.4% (IV-23) a 44.6%</t>
  </si>
  <si>
    <t xml:space="preserve">29.4 → 44.6</t>
  </si>
  <si>
    <t xml:space="preserve">El pico fue 47.8% en II-25; desde ahí está estable en 42-45%.</t>
  </si>
  <si>
    <t xml:space="preserve">Acceso al financiamiento nunca pasa de 2.6%</t>
  </si>
  <si>
    <t xml:space="preserve">≤2.6</t>
  </si>
  <si>
    <t xml:space="preserve">III-22 a II-26.</t>
  </si>
  <si>
    <t xml:space="preserve">Rechazos (orden y valores)</t>
  </si>
  <si>
    <t xml:space="preserve">IV-23 6%, I-24 9%, IV-22 20%, II-26 24%</t>
  </si>
  <si>
    <t xml:space="preserve">Serie completa</t>
  </si>
  <si>
    <t xml:space="preserve">Corregir</t>
  </si>
  <si>
    <t xml:space="preserve">El orden estaba revuelto. Lo relevante: I-26 (22.5%) y II-26 (24.3%) son los dos valores más altos desde III-22; antes oscilaba 3-11%, salvo IV-22 (20.2%).</t>
  </si>
  <si>
    <t xml:space="preserve">Índice de tasas: 'solo tengo estos puntos'</t>
  </si>
  <si>
    <t xml:space="preserve">6 puntos</t>
  </si>
  <si>
    <t xml:space="preserve">Serie III-22 a II-26</t>
  </si>
  <si>
    <t xml:space="preserve">Serie completa: subió hasta 49.0 en III-25 y bajó a 44.9 (I-26) y 39.4 (II-26). El costo percibido empeoró en 2026 pese a los recortes.</t>
  </si>
  <si>
    <t xml:space="preserve">Tabla de fases: 'Alzas II-22 a I-23'</t>
  </si>
  <si>
    <t xml:space="preserve">II-22 a I-23</t>
  </si>
  <si>
    <t xml:space="preserve">II-21 a I-23</t>
  </si>
  <si>
    <t xml:space="preserve">Las alzas empezaron en junio de 2021. Promedios recalculados en hoja Estadísticas.</t>
  </si>
  <si>
    <t xml:space="preserve">Tasas de fin de trimestre 'estimadas'</t>
  </si>
  <si>
    <t xml:space="preserve">estimadas</t>
  </si>
  <si>
    <t xml:space="preserve">reconstruidas de anuncios</t>
  </si>
  <si>
    <t xml:space="preserve">Ver columna E de Series; I-26 = 6.75%, II-26 = 6.50%.</t>
  </si>
  <si>
    <t xml:space="preserve">Correlación nuevo crédito vs tasa</t>
  </si>
  <si>
    <t xml:space="preserve">+0.46</t>
  </si>
  <si>
    <t xml:space="preserve">Con tasa rezagada un trimestre: +0.42. No implica causalidad.</t>
  </si>
  <si>
    <t xml:space="preserve">2020 muestra anterior (I-20 24.2 ... IV-20 16.8; vigente 47.6 ... 43.9)</t>
  </si>
  <si>
    <t xml:space="preserve">Comunicado I-2021.</t>
  </si>
  <si>
    <t xml:space="preserve">Diferencia entre muestras: ~6 pp nuevo crédito (3-9), 4-11 pp vigente</t>
  </si>
  <si>
    <t xml:space="preserve">~6 / 4-11</t>
  </si>
  <si>
    <t xml:space="preserve">5.8 / 4.1-10.9</t>
  </si>
  <si>
    <t xml:space="preserve">Traslape IV-20 a II-22.</t>
  </si>
  <si>
    <t xml:space="preserve">'Para series largas usar solo IV-20 en adelante' vs tabla 2020 con IV-20</t>
  </si>
  <si>
    <t xml:space="preserve">contradicción</t>
  </si>
  <si>
    <t xml:space="preserve">IV-20 existe en ambas</t>
  </si>
  <si>
    <t xml:space="preserve">IV-20 tiene dos valores: 16.8% (muestra anterior) y 13.6% (diseño vigente).</t>
  </si>
  <si>
    <t xml:space="preserve">Esperan pedir crédito bancario: 20.3% (antes 18.7%)</t>
  </si>
  <si>
    <t xml:space="preserve">20.3</t>
  </si>
  <si>
    <t xml:space="preserve">Próxima publicación 19-nov-2026 (julio-septiembre)</t>
  </si>
  <si>
    <t xml:space="preserve">19-nov</t>
  </si>
  <si>
    <t xml:space="preserve">Calendario Banxico 2026.</t>
  </si>
  <si>
    <t xml:space="preserve">Banxico en 6.50% en septiembre 2026</t>
  </si>
  <si>
    <t xml:space="preserve">6.50</t>
  </si>
  <si>
    <t xml:space="preserve">Decisión del 24-sep-2026; tercera pausa consecutiva.</t>
  </si>
  <si>
    <t xml:space="preserve">Parte 2. Correcciones del asesor</t>
  </si>
  <si>
    <t xml:space="preserve">Corrección pedida</t>
  </si>
  <si>
    <t xml:space="preserve">Qué se hizo</t>
  </si>
  <si>
    <t xml:space="preserve">Dónde</t>
  </si>
  <si>
    <t xml:space="preserve">Gráfica del cuadro de la página 3 (brecha por tamaño)</t>
  </si>
  <si>
    <t xml:space="preserve">Gráficas de pymes vs grandes con tendencia y brecha anual</t>
  </si>
  <si>
    <t xml:space="preserve">Por tamaño; Word Banxico</t>
  </si>
  <si>
    <t xml:space="preserve">Hecho</t>
  </si>
  <si>
    <t xml:space="preserve">Base de datos de las fuentes de las imágenes</t>
  </si>
  <si>
    <t xml:space="preserve">Hoja con los datos de cada figura y su fuente</t>
  </si>
  <si>
    <t xml:space="preserve">Hipótesis 2020-2026</t>
  </si>
  <si>
    <t xml:space="preserve">Seis hipótesis con su dato clave</t>
  </si>
  <si>
    <t xml:space="preserve">Hipótesis; ambos Word</t>
  </si>
  <si>
    <t xml:space="preserve">H4 por tamaño y H6 quedan pendientes de dato.</t>
  </si>
  <si>
    <t xml:space="preserve">Base y gráfico de tendencia de la encuesta</t>
  </si>
  <si>
    <t xml:space="preserve">Serie completa con tendencia lineal</t>
  </si>
  <si>
    <t xml:space="preserve">Una para grandes y otra para pymes</t>
  </si>
  <si>
    <t xml:space="preserve">Gráficas por tamaño con tendencia</t>
  </si>
  <si>
    <t xml:space="preserve">Cuadro gran empresa y cuadro medianas y pequeñas</t>
  </si>
  <si>
    <t xml:space="preserve">Cuadros A y B trimestrales y Cuadro C anual</t>
  </si>
  <si>
    <t xml:space="preserve">Huecos donde no hay dato publicado.</t>
  </si>
  <si>
    <t xml:space="preserve">Sección y fila de pendientes</t>
  </si>
  <si>
    <t xml:space="preserve">Pendientes; Word Banxico</t>
  </si>
  <si>
    <t xml:space="preserve">Pendiente de dato</t>
  </si>
  <si>
    <t xml:space="preserve">Requiere descargar del SIE.</t>
  </si>
  <si>
    <t xml:space="preserve">Crédito nuevo por año 2020 a III-2026</t>
  </si>
  <si>
    <t xml:space="preserve">Resumen anual 2020-2026 y 2020 por trimestre</t>
  </si>
  <si>
    <t xml:space="preserve">Resumen anual; Serie completa</t>
  </si>
  <si>
    <t xml:space="preserve">Hecho (III-26 pendiente)</t>
  </si>
  <si>
    <t xml:space="preserve">III-26 se publica el 19-nov-2026.</t>
  </si>
  <si>
    <t xml:space="preserve">Brecha por tamaño por año 2020-26</t>
  </si>
  <si>
    <t xml:space="preserve">Cuadro C</t>
  </si>
  <si>
    <t xml:space="preserve">2020 = solo IV-20.</t>
  </si>
  <si>
    <t xml:space="preserve">Rechazo y costo por pymes, grandes y anual</t>
  </si>
  <si>
    <t xml:space="preserve">Cuadros A y B</t>
  </si>
  <si>
    <t xml:space="preserve">Parcial</t>
  </si>
  <si>
    <t xml:space="preserve">Por tamaño solo II-26 (costo).</t>
  </si>
  <si>
    <t xml:space="preserve">Añadir la TIIE</t>
  </si>
  <si>
    <t xml:space="preserve">Columna en Series, Serie completa y Resumen anual</t>
  </si>
  <si>
    <t xml:space="preserve">Celdas amarillas; serie SF43783.</t>
  </si>
  <si>
    <t xml:space="preserve">Variables: qué son, porcentaje</t>
  </si>
  <si>
    <t xml:space="preserve">Hoja de variables y unidades</t>
  </si>
  <si>
    <t xml:space="preserve">Serie completa 2020-2026 y tercer trimestre 2026</t>
  </si>
  <si>
    <t xml:space="preserve">27 trimestres I-20 a III-26</t>
  </si>
  <si>
    <t xml:space="preserve">Revisar si la información es acumulada / IV trimestre</t>
  </si>
  <si>
    <t xml:space="preserve">No es acumulada; se muestra el IV trimestre junto al promedio anual</t>
  </si>
  <si>
    <t xml:space="preserve">Resumen anual col. E; Variables</t>
  </si>
  <si>
    <t xml:space="preserve">Fuente debajo de cada gráfica</t>
  </si>
  <si>
    <t xml:space="preserve">Línea 'Fuente:' bajo cada gráfica del libro y de los Word</t>
  </si>
  <si>
    <t xml:space="preserve">Todas</t>
  </si>
  <si>
    <t xml:space="preserve">2020: faltaban I, II y III trimestre</t>
  </si>
  <si>
    <t xml:space="preserve">Se agregan desde la muestra anterior, marcados</t>
  </si>
  <si>
    <t xml:space="preserve">Serie completa; Resumen anual</t>
  </si>
  <si>
    <t xml:space="preserve">No comparables en nivel con el diseño vigente.</t>
  </si>
  <si>
    <t xml:space="preserve">Fuentes</t>
  </si>
  <si>
    <t xml:space="preserve">Comunicados de Banxico y notas citadas.</t>
  </si>
  <si>
    <t xml:space="preserve">Comunicado</t>
  </si>
  <si>
    <t xml:space="preserve">Uso</t>
  </si>
  <si>
    <t xml:space="preserve">URL</t>
  </si>
  <si>
    <t xml:space="preserve">II-2026 (20-ago-2026)</t>
  </si>
  <si>
    <t xml:space="preserve">Series II-24 a II-26; cuadros I-26 y II-26</t>
  </si>
  <si>
    <t xml:space="preserve">https://www.banxico.org.mx/publicaciones-y-prensa/evolucion-trimestral-del-financiamiento-a-las-empr/{E337ADB1-E981-1E18-A430-CEF8FF7A5164}.pdf</t>
  </si>
  <si>
    <t xml:space="preserve">IV-2025 (19-feb-2026)</t>
  </si>
  <si>
    <t xml:space="preserve">Series IV-23 a IV-25; cuadros III-25 y IV-25</t>
  </si>
  <si>
    <t xml:space="preserve">https://www.banxico.org.mx/publicaciones-y-prensa/evolucion-trimestral-del-financiamiento-a-las-empr/{6353FB17-0AEC-FEC4-C353-23DA19D12758}.pdf</t>
  </si>
  <si>
    <t xml:space="preserve">II-2025 (21-ago-2025)</t>
  </si>
  <si>
    <t xml:space="preserve">Cuadros I-25 y II-25</t>
  </si>
  <si>
    <t xml:space="preserve">https://www.banxico.org.mx/publicaciones-y-prensa/evolucion-trimestral-del-financiamiento-a-las-empr/{A359AF39-1AA0-580C-3CEF-9373F9D485D8}.pdf</t>
  </si>
  <si>
    <t xml:space="preserve">IV-2024 (20-feb-2025)</t>
  </si>
  <si>
    <t xml:space="preserve">Cuadros III-24 y IV-24</t>
  </si>
  <si>
    <t xml:space="preserve">https://www.banxico.org.mx/publicaciones-y-prensa/evolucion-trimestral-del-financiamiento-a-las-empr/{41E9A188-3BBF-92FE-3901-BFCF227A03C1}.pdf</t>
  </si>
  <si>
    <t xml:space="preserve">II-2024 (22-ago-2024)</t>
  </si>
  <si>
    <t xml:space="preserve">Series II-22 a II-24; cuadros I-24 y II-24</t>
  </si>
  <si>
    <t xml:space="preserve">https://www.banxico.org.mx/publicaciones-y-prensa/evolucion-trimestral-del-financiamiento-a-las-empr/{C03F13AB-9577-CCE0-8FE6-66CD253255B7}.pdf</t>
  </si>
  <si>
    <t xml:space="preserve">IV-2023 (22-feb-2024)</t>
  </si>
  <si>
    <t xml:space="preserve">Series IV-21 a IV-23; cuadros III-23 y IV-23</t>
  </si>
  <si>
    <t xml:space="preserve">https://www.banxico.org.mx/publicaciones-y-prensa/evolucion-trimestral-del-financiamiento-a-las-empr/{E2598EEE-1219-84C2-FA87-EC08CD410AF0}.pdf</t>
  </si>
  <si>
    <t xml:space="preserve">II-2023 (17-ago-2023)</t>
  </si>
  <si>
    <t xml:space="preserve">Cuadros I-23 y II-23</t>
  </si>
  <si>
    <t xml:space="preserve">https://www.banxico.org.mx/publicaciones-y-prensa/evolucion-trimestral-del-financiamiento-a-las-empr/{0CE3D5CB-D226-BD23-14DD-FF6866A972C4}.pdf</t>
  </si>
  <si>
    <t xml:space="preserve">IV-2022 (16-feb-2023)</t>
  </si>
  <si>
    <t xml:space="preserve">Primer comunicado con diseño vigente; series IV-20 a IV-22; cuadros III-22 y IV-22</t>
  </si>
  <si>
    <t xml:space="preserve">https://www.banxico.org.mx/publicaciones-y-prensa/evolucion-trimestral-del-financiamiento-a-las-empr/{D5CA1289-F2D7-09C2-7B2D-423C8E37F21D}.pdf</t>
  </si>
  <si>
    <t xml:space="preserve">II-2022 (18-ago-2022)</t>
  </si>
  <si>
    <t xml:space="preserve">Muestra anterior: II-20 a II-22</t>
  </si>
  <si>
    <t xml:space="preserve">https://www.banxico.org.mx/publicaciones-y-prensa/evolucion-trimestral-del-financiamiento-a-las-empr/{FB5B2684-8343-D0B7-062D-8CBD1E9275CA}.pdf</t>
  </si>
  <si>
    <t xml:space="preserve">I-2021 (20-may-2021)</t>
  </si>
  <si>
    <t xml:space="preserve">Muestra anterior: I-19 a I-21</t>
  </si>
  <si>
    <t xml:space="preserve">https://www.banxico.org.mx/publicaciones-y-prensa/evolucion-trimestral-del-financiamiento-a-las-empr/{2F0797C9-2616-D11A-47F5-39FE48B68D31}.pdf</t>
  </si>
  <si>
    <t xml:space="preserve">Nota metodológica</t>
  </si>
  <si>
    <t xml:space="preserve">Referencia</t>
  </si>
  <si>
    <t xml:space="preserve">https://www.banxico.org.mx/apps/sie/{9F0C92AB-EEAE-142D-4CC8-EC8DC2F2A7AD}.pdf</t>
  </si>
  <si>
    <t xml:space="preserve">SIE cuadro CF910</t>
  </si>
  <si>
    <t xml:space="preserve">https://www.banxico.org.mx/SieInternet/consultarDirectorioInternetAction.do?sector=19&amp;accion=consultarCuadro&amp;idCuadro=CF910&amp;locale=es</t>
  </si>
  <si>
    <t xml:space="preserve">I-2026 (21-may-2026), vía Yahoo Noticias</t>
  </si>
  <si>
    <t xml:space="preserve">Nuevo crédito por tamaño I-26 (12.1% hasta 100; 20.4% más de 100)</t>
  </si>
  <si>
    <t xml:space="preserve">https://es-us.noticias.yahoo.com/trimestre-subi%C3%B3-porcentaje-empresas-utilizaron-045907948.html</t>
  </si>
  <si>
    <t xml:space="preserve">I-2024 (mayo-2024), vía cobertura de prensa</t>
  </si>
  <si>
    <t xml:space="preserve">Nuevo crédito por tamaño I-24 (16.3% hasta 100; 20.2% más de 100)</t>
  </si>
  <si>
    <t xml:space="preserve">https://www.dineroenimagen.com/empresas/encuesta-de-banxico-revela-mas-empresas-evitan-nuevos-creditos-bancarios/186720</t>
  </si>
  <si>
    <t xml:space="preserve">II-2026 vía El Universal</t>
  </si>
  <si>
    <t xml:space="preserve">Lectura por tamaño de II-26 (pymes perciben crédito más caro)</t>
  </si>
  <si>
    <t xml:space="preserve">https://www.eluniversal.com.mx/cartera/banca-da-menos-creditos-a-las-pymes-pese-al-compromiso-con-gobierno-solo-227-de-empresas-recibio-financiamiento/</t>
  </si>
  <si>
    <t xml:space="preserve">Calendario de publicación 2026</t>
  </si>
  <si>
    <t xml:space="preserve">III-2026 se publica el 19-nov-2026</t>
  </si>
  <si>
    <t xml:space="preserve">https://www.banxico.org.mx/publicaciones-y-prensa/evolucion-trimestral-del-financiamiento-a-las-empr/evolucion-del-financiamiento-.html</t>
  </si>
  <si>
    <t xml:space="preserve">SIE serie SF43783 / cuadro CF111</t>
  </si>
  <si>
    <t xml:space="preserve">TIIE a 28 días (pendiente de captura)</t>
  </si>
  <si>
    <t xml:space="preserve">https://www.banxico.org.mx/SieInternet/consultarDirectorioInternetAction.do?accion=consultarCuadro&amp;idCuadro=CF111</t>
  </si>
  <si>
    <t xml:space="preserve">TIIE de Fondeo (BDO / IMEF)</t>
  </si>
  <si>
    <t xml:space="preserve">Desde 2025 los créditos nuevos en pesos usan la TIIE de Fondeo en lugar de la TIIE 28</t>
  </si>
  <si>
    <t xml:space="preserve">https://www.bdomexico.com/es-mx/publicaciones/boletines-de-precios-de-transferencia/2025/tiie-de-fondeo</t>
  </si>
  <si>
    <t xml:space="preserve">ENAFIN 2024 (INEGI-CNBV)</t>
  </si>
  <si>
    <t xml:space="preserve">Datos de la Fig. 1 del documento de servicio social</t>
  </si>
  <si>
    <t xml:space="preserve">https://www.inegi.org.mx/contenidos/saladeprensa/boletines/2025/enafin/ENAFIN_24_RR.pdf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</si>
</sst>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"/>
    <numFmt numFmtId="168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55555"/>
      <rgbColor rgb="FF8C8C8C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Nuevo crédito bancario, IV-2020 a II-2026 (% de empresas)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Series!H4</c:f>
              <c:strCache>
                <c:ptCount val="1"/>
                <c:pt idx="0">
                  <c:v>Usaron nuevo crédito bancario</c:v>
                </c:pt>
              </c:strCache>
            </c:strRef>
          </c:tx>
          <c:spPr>
            <a:solidFill>
              <a:srgbClr val="8c8c8c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8c8c8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5840">
                <a:solidFill>
                  <a:srgbClr val="2a78d6"/>
                </a:solidFill>
                <a:prstDash val="dash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Series!$A$5:$A$27</c:f>
              <c:strCache>
                <c:ptCount val="23"/>
                <c:pt idx="0">
                  <c:v>IV-20</c:v>
                </c:pt>
                <c:pt idx="1">
                  <c:v>I-21</c:v>
                </c:pt>
                <c:pt idx="2">
                  <c:v>II-21</c:v>
                </c:pt>
                <c:pt idx="3">
                  <c:v>III-21</c:v>
                </c:pt>
                <c:pt idx="4">
                  <c:v>IV-21</c:v>
                </c:pt>
                <c:pt idx="5">
                  <c:v>I-22</c:v>
                </c:pt>
                <c:pt idx="6">
                  <c:v>II-22</c:v>
                </c:pt>
                <c:pt idx="7">
                  <c:v>III-22</c:v>
                </c:pt>
                <c:pt idx="8">
                  <c:v>IV-22</c:v>
                </c:pt>
                <c:pt idx="9">
                  <c:v>I-23</c:v>
                </c:pt>
                <c:pt idx="10">
                  <c:v>II-23</c:v>
                </c:pt>
                <c:pt idx="11">
                  <c:v>III-23</c:v>
                </c:pt>
                <c:pt idx="12">
                  <c:v>IV-23</c:v>
                </c:pt>
                <c:pt idx="13">
                  <c:v>I-24</c:v>
                </c:pt>
                <c:pt idx="14">
                  <c:v>II-24</c:v>
                </c:pt>
                <c:pt idx="15">
                  <c:v>III-24</c:v>
                </c:pt>
                <c:pt idx="16">
                  <c:v>IV-24</c:v>
                </c:pt>
                <c:pt idx="17">
                  <c:v>I-25</c:v>
                </c:pt>
                <c:pt idx="18">
                  <c:v>II-25</c:v>
                </c:pt>
                <c:pt idx="19">
                  <c:v>III-25</c:v>
                </c:pt>
                <c:pt idx="20">
                  <c:v>IV-25</c:v>
                </c:pt>
                <c:pt idx="21">
                  <c:v>I-26</c:v>
                </c:pt>
                <c:pt idx="22">
                  <c:v>II-26</c:v>
                </c:pt>
              </c:strCache>
            </c:strRef>
          </c:cat>
          <c:val>
            <c:numRef>
              <c:f>Series!$H$5:$H$27</c:f>
              <c:numCache>
                <c:formatCode>0.0</c:formatCode>
                <c:ptCount val="23"/>
                <c:pt idx="0">
                  <c:v>13.6</c:v>
                </c:pt>
                <c:pt idx="1">
                  <c:v>15.5</c:v>
                </c:pt>
                <c:pt idx="2">
                  <c:v>11</c:v>
                </c:pt>
                <c:pt idx="3">
                  <c:v>11.5</c:v>
                </c:pt>
                <c:pt idx="4">
                  <c:v>9</c:v>
                </c:pt>
                <c:pt idx="5">
                  <c:v>15.2</c:v>
                </c:pt>
                <c:pt idx="6">
                  <c:v>15.9</c:v>
                </c:pt>
                <c:pt idx="7">
                  <c:v>16.5</c:v>
                </c:pt>
                <c:pt idx="8">
                  <c:v>13.8</c:v>
                </c:pt>
                <c:pt idx="9">
                  <c:v>15.9</c:v>
                </c:pt>
                <c:pt idx="10">
                  <c:v>14.8</c:v>
                </c:pt>
                <c:pt idx="11">
                  <c:v>15.2</c:v>
                </c:pt>
                <c:pt idx="12">
                  <c:v>15.6</c:v>
                </c:pt>
                <c:pt idx="13">
                  <c:v>16.7</c:v>
                </c:pt>
                <c:pt idx="14">
                  <c:v>12.5</c:v>
                </c:pt>
                <c:pt idx="15">
                  <c:v>15.2</c:v>
                </c:pt>
                <c:pt idx="16">
                  <c:v>12.1</c:v>
                </c:pt>
                <c:pt idx="17">
                  <c:v>13.3</c:v>
                </c:pt>
                <c:pt idx="18">
                  <c:v>14.9</c:v>
                </c:pt>
                <c:pt idx="19">
                  <c:v>11.5</c:v>
                </c:pt>
                <c:pt idx="20">
                  <c:v>15.3</c:v>
                </c:pt>
                <c:pt idx="21">
                  <c:v>13.1</c:v>
                </c:pt>
                <c:pt idx="22">
                  <c:v>11.2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Series!I4</c:f>
              <c:strCache>
                <c:ptCount val="1"/>
                <c:pt idx="0">
                  <c:v>Promedio móvil 4T nuevo crédito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Series!$A$5:$A$27</c:f>
              <c:strCache>
                <c:ptCount val="23"/>
                <c:pt idx="0">
                  <c:v>IV-20</c:v>
                </c:pt>
                <c:pt idx="1">
                  <c:v>I-21</c:v>
                </c:pt>
                <c:pt idx="2">
                  <c:v>II-21</c:v>
                </c:pt>
                <c:pt idx="3">
                  <c:v>III-21</c:v>
                </c:pt>
                <c:pt idx="4">
                  <c:v>IV-21</c:v>
                </c:pt>
                <c:pt idx="5">
                  <c:v>I-22</c:v>
                </c:pt>
                <c:pt idx="6">
                  <c:v>II-22</c:v>
                </c:pt>
                <c:pt idx="7">
                  <c:v>III-22</c:v>
                </c:pt>
                <c:pt idx="8">
                  <c:v>IV-22</c:v>
                </c:pt>
                <c:pt idx="9">
                  <c:v>I-23</c:v>
                </c:pt>
                <c:pt idx="10">
                  <c:v>II-23</c:v>
                </c:pt>
                <c:pt idx="11">
                  <c:v>III-23</c:v>
                </c:pt>
                <c:pt idx="12">
                  <c:v>IV-23</c:v>
                </c:pt>
                <c:pt idx="13">
                  <c:v>I-24</c:v>
                </c:pt>
                <c:pt idx="14">
                  <c:v>II-24</c:v>
                </c:pt>
                <c:pt idx="15">
                  <c:v>III-24</c:v>
                </c:pt>
                <c:pt idx="16">
                  <c:v>IV-24</c:v>
                </c:pt>
                <c:pt idx="17">
                  <c:v>I-25</c:v>
                </c:pt>
                <c:pt idx="18">
                  <c:v>II-25</c:v>
                </c:pt>
                <c:pt idx="19">
                  <c:v>III-25</c:v>
                </c:pt>
                <c:pt idx="20">
                  <c:v>IV-25</c:v>
                </c:pt>
                <c:pt idx="21">
                  <c:v>I-26</c:v>
                </c:pt>
                <c:pt idx="22">
                  <c:v>II-26</c:v>
                </c:pt>
              </c:strCache>
            </c:strRef>
          </c:cat>
          <c:val>
            <c:numRef>
              <c:f>Series!$I$5:$I$27</c:f>
              <c:numCache>
                <c:formatCode>0.0</c:formatCode>
                <c:ptCount val="23"/>
                <c:pt idx="3">
                  <c:v>12.9</c:v>
                </c:pt>
                <c:pt idx="4">
                  <c:v>11.75</c:v>
                </c:pt>
                <c:pt idx="5">
                  <c:v>11.675</c:v>
                </c:pt>
                <c:pt idx="6">
                  <c:v>12.9</c:v>
                </c:pt>
                <c:pt idx="7">
                  <c:v>14.15</c:v>
                </c:pt>
                <c:pt idx="8">
                  <c:v>15.35</c:v>
                </c:pt>
                <c:pt idx="9">
                  <c:v>15.525</c:v>
                </c:pt>
                <c:pt idx="10">
                  <c:v>15.25</c:v>
                </c:pt>
                <c:pt idx="11">
                  <c:v>14.925</c:v>
                </c:pt>
                <c:pt idx="12">
                  <c:v>15.375</c:v>
                </c:pt>
                <c:pt idx="13">
                  <c:v>15.575</c:v>
                </c:pt>
                <c:pt idx="14">
                  <c:v>15</c:v>
                </c:pt>
                <c:pt idx="15">
                  <c:v>15</c:v>
                </c:pt>
                <c:pt idx="16">
                  <c:v>14.125</c:v>
                </c:pt>
                <c:pt idx="17">
                  <c:v>13.275</c:v>
                </c:pt>
                <c:pt idx="18">
                  <c:v>13.875</c:v>
                </c:pt>
                <c:pt idx="19">
                  <c:v>12.95</c:v>
                </c:pt>
                <c:pt idx="20">
                  <c:v>13.75</c:v>
                </c:pt>
                <c:pt idx="21">
                  <c:v>13.7</c:v>
                </c:pt>
                <c:pt idx="22">
                  <c:v>12.775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915969"/>
        <c:axId val="48768766"/>
      </c:lineChart>
      <c:catAx>
        <c:axId val="979159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68766"/>
        <c:crosses val="autoZero"/>
        <c:auto val="1"/>
        <c:lblAlgn val="ctr"/>
        <c:lblOffset val="100"/>
        <c:noMultiLvlLbl val="0"/>
      </c:catAx>
      <c:valAx>
        <c:axId val="4876876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empresas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159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Nuevo crédito bancario 2020-2026 y línea de tendencia (% de empresas)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'Serie completa 2020-2026'!L4</c:f>
              <c:strCache>
                <c:ptCount val="1"/>
                <c:pt idx="0">
                  <c:v>Nuevo crédito — diseño vigente (para gráfica)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'Serie completa 2020-2026'!$A$5:$A$30</c:f>
              <c:strCache>
                <c:ptCount val="26"/>
                <c:pt idx="0">
                  <c:v>I-20</c:v>
                </c:pt>
                <c:pt idx="1">
                  <c:v>II-20</c:v>
                </c:pt>
                <c:pt idx="2">
                  <c:v>III-20</c:v>
                </c:pt>
                <c:pt idx="3">
                  <c:v>IV-20</c:v>
                </c:pt>
                <c:pt idx="4">
                  <c:v>I-21</c:v>
                </c:pt>
                <c:pt idx="5">
                  <c:v>II-21</c:v>
                </c:pt>
                <c:pt idx="6">
                  <c:v>III-21</c:v>
                </c:pt>
                <c:pt idx="7">
                  <c:v>IV-21</c:v>
                </c:pt>
                <c:pt idx="8">
                  <c:v>I-22</c:v>
                </c:pt>
                <c:pt idx="9">
                  <c:v>II-22</c:v>
                </c:pt>
                <c:pt idx="10">
                  <c:v>III-22</c:v>
                </c:pt>
                <c:pt idx="11">
                  <c:v>IV-22</c:v>
                </c:pt>
                <c:pt idx="12">
                  <c:v>I-23</c:v>
                </c:pt>
                <c:pt idx="13">
                  <c:v>II-23</c:v>
                </c:pt>
                <c:pt idx="14">
                  <c:v>III-23</c:v>
                </c:pt>
                <c:pt idx="15">
                  <c:v>IV-23</c:v>
                </c:pt>
                <c:pt idx="16">
                  <c:v>I-24</c:v>
                </c:pt>
                <c:pt idx="17">
                  <c:v>II-24</c:v>
                </c:pt>
                <c:pt idx="18">
                  <c:v>III-24</c:v>
                </c:pt>
                <c:pt idx="19">
                  <c:v>IV-24</c:v>
                </c:pt>
                <c:pt idx="20">
                  <c:v>I-25</c:v>
                </c:pt>
                <c:pt idx="21">
                  <c:v>II-25</c:v>
                </c:pt>
                <c:pt idx="22">
                  <c:v>III-25</c:v>
                </c:pt>
                <c:pt idx="23">
                  <c:v>IV-25</c:v>
                </c:pt>
                <c:pt idx="24">
                  <c:v>I-26</c:v>
                </c:pt>
                <c:pt idx="25">
                  <c:v>II-26</c:v>
                </c:pt>
              </c:strCache>
            </c:strRef>
          </c:cat>
          <c:val>
            <c:numRef>
              <c:f>'Serie completa 2020-2026'!$L$5:$L$30</c:f>
              <c:numCache>
                <c:formatCode>0.0</c:formatCode>
                <c:ptCount val="26"/>
                <c:pt idx="3">
                  <c:v>13.6</c:v>
                </c:pt>
                <c:pt idx="4">
                  <c:v>15.5</c:v>
                </c:pt>
                <c:pt idx="5">
                  <c:v>11</c:v>
                </c:pt>
                <c:pt idx="6">
                  <c:v>11.5</c:v>
                </c:pt>
                <c:pt idx="7">
                  <c:v>9</c:v>
                </c:pt>
                <c:pt idx="8">
                  <c:v>15.2</c:v>
                </c:pt>
                <c:pt idx="9">
                  <c:v>15.9</c:v>
                </c:pt>
                <c:pt idx="10">
                  <c:v>16.5</c:v>
                </c:pt>
                <c:pt idx="11">
                  <c:v>13.8</c:v>
                </c:pt>
                <c:pt idx="12">
                  <c:v>15.9</c:v>
                </c:pt>
                <c:pt idx="13">
                  <c:v>14.8</c:v>
                </c:pt>
                <c:pt idx="14">
                  <c:v>15.2</c:v>
                </c:pt>
                <c:pt idx="15">
                  <c:v>15.6</c:v>
                </c:pt>
                <c:pt idx="16">
                  <c:v>16.7</c:v>
                </c:pt>
                <c:pt idx="17">
                  <c:v>12.5</c:v>
                </c:pt>
                <c:pt idx="18">
                  <c:v>15.2</c:v>
                </c:pt>
                <c:pt idx="19">
                  <c:v>12.1</c:v>
                </c:pt>
                <c:pt idx="20">
                  <c:v>13.3</c:v>
                </c:pt>
                <c:pt idx="21">
                  <c:v>14.9</c:v>
                </c:pt>
                <c:pt idx="22">
                  <c:v>11.5</c:v>
                </c:pt>
                <c:pt idx="23">
                  <c:v>15.3</c:v>
                </c:pt>
                <c:pt idx="24">
                  <c:v>13.1</c:v>
                </c:pt>
                <c:pt idx="25">
                  <c:v>11.2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'Serie completa 2020-2026'!M4</c:f>
              <c:strCache>
                <c:ptCount val="1"/>
                <c:pt idx="0">
                  <c:v>Nuevo crédito — muestra anterior (referencia)</c:v>
                </c:pt>
              </c:strCache>
            </c:strRef>
          </c:tx>
          <c:spPr>
            <a:solidFill>
              <a:srgbClr val="8c8c8c"/>
            </a:solidFill>
            <a:ln w="19080">
              <a:solidFill>
                <a:srgbClr val="8c8c8c"/>
              </a:solidFill>
              <a:prstDash val="dash"/>
              <a:round/>
            </a:ln>
          </c:spPr>
          <c:marker>
            <c:symbol val="triangle"/>
            <c:size val="6"/>
            <c:spPr>
              <a:solidFill>
                <a:srgbClr val="8c8c8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'Serie completa 2020-2026'!$A$5:$A$30</c:f>
              <c:strCache>
                <c:ptCount val="26"/>
                <c:pt idx="0">
                  <c:v>I-20</c:v>
                </c:pt>
                <c:pt idx="1">
                  <c:v>II-20</c:v>
                </c:pt>
                <c:pt idx="2">
                  <c:v>III-20</c:v>
                </c:pt>
                <c:pt idx="3">
                  <c:v>IV-20</c:v>
                </c:pt>
                <c:pt idx="4">
                  <c:v>I-21</c:v>
                </c:pt>
                <c:pt idx="5">
                  <c:v>II-21</c:v>
                </c:pt>
                <c:pt idx="6">
                  <c:v>III-21</c:v>
                </c:pt>
                <c:pt idx="7">
                  <c:v>IV-21</c:v>
                </c:pt>
                <c:pt idx="8">
                  <c:v>I-22</c:v>
                </c:pt>
                <c:pt idx="9">
                  <c:v>II-22</c:v>
                </c:pt>
                <c:pt idx="10">
                  <c:v>III-22</c:v>
                </c:pt>
                <c:pt idx="11">
                  <c:v>IV-22</c:v>
                </c:pt>
                <c:pt idx="12">
                  <c:v>I-23</c:v>
                </c:pt>
                <c:pt idx="13">
                  <c:v>II-23</c:v>
                </c:pt>
                <c:pt idx="14">
                  <c:v>III-23</c:v>
                </c:pt>
                <c:pt idx="15">
                  <c:v>IV-23</c:v>
                </c:pt>
                <c:pt idx="16">
                  <c:v>I-24</c:v>
                </c:pt>
                <c:pt idx="17">
                  <c:v>II-24</c:v>
                </c:pt>
                <c:pt idx="18">
                  <c:v>III-24</c:v>
                </c:pt>
                <c:pt idx="19">
                  <c:v>IV-24</c:v>
                </c:pt>
                <c:pt idx="20">
                  <c:v>I-25</c:v>
                </c:pt>
                <c:pt idx="21">
                  <c:v>II-25</c:v>
                </c:pt>
                <c:pt idx="22">
                  <c:v>III-25</c:v>
                </c:pt>
                <c:pt idx="23">
                  <c:v>IV-25</c:v>
                </c:pt>
                <c:pt idx="24">
                  <c:v>I-26</c:v>
                </c:pt>
                <c:pt idx="25">
                  <c:v>II-26</c:v>
                </c:pt>
              </c:strCache>
            </c:strRef>
          </c:cat>
          <c:val>
            <c:numRef>
              <c:f>'Serie completa 2020-2026'!$M$5:$M$30</c:f>
              <c:numCache>
                <c:formatCode>0.0</c:formatCode>
                <c:ptCount val="26"/>
                <c:pt idx="0">
                  <c:v>24.2</c:v>
                </c:pt>
                <c:pt idx="1">
                  <c:v>21.6</c:v>
                </c:pt>
                <c:pt idx="2">
                  <c:v>19</c:v>
                </c:pt>
                <c:pt idx="3">
                  <c:v>16.8</c:v>
                </c:pt>
                <c:pt idx="4">
                  <c:v>20.8</c:v>
                </c:pt>
                <c:pt idx="5">
                  <c:v>17.4</c:v>
                </c:pt>
                <c:pt idx="6">
                  <c:v>19.3</c:v>
                </c:pt>
                <c:pt idx="7">
                  <c:v>17.8</c:v>
                </c:pt>
                <c:pt idx="8">
                  <c:v>19.5</c:v>
                </c:pt>
                <c:pt idx="9">
                  <c:v>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'Serie completa 2020-2026'!N4</c:f>
              <c:strCache>
                <c:ptCount val="1"/>
                <c:pt idx="0">
                  <c:v>Tendencia lineal IV-20 a II-26</c:v>
                </c:pt>
              </c:strCache>
            </c:strRef>
          </c:tx>
          <c:spPr>
            <a:solidFill>
              <a:srgbClr val="2a78d6"/>
            </a:solidFill>
            <a:ln w="12600">
              <a:solidFill>
                <a:srgbClr val="2a78d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'Serie completa 2020-2026'!$A$5:$A$30</c:f>
              <c:strCache>
                <c:ptCount val="26"/>
                <c:pt idx="0">
                  <c:v>I-20</c:v>
                </c:pt>
                <c:pt idx="1">
                  <c:v>II-20</c:v>
                </c:pt>
                <c:pt idx="2">
                  <c:v>III-20</c:v>
                </c:pt>
                <c:pt idx="3">
                  <c:v>IV-20</c:v>
                </c:pt>
                <c:pt idx="4">
                  <c:v>I-21</c:v>
                </c:pt>
                <c:pt idx="5">
                  <c:v>II-21</c:v>
                </c:pt>
                <c:pt idx="6">
                  <c:v>III-21</c:v>
                </c:pt>
                <c:pt idx="7">
                  <c:v>IV-21</c:v>
                </c:pt>
                <c:pt idx="8">
                  <c:v>I-22</c:v>
                </c:pt>
                <c:pt idx="9">
                  <c:v>II-22</c:v>
                </c:pt>
                <c:pt idx="10">
                  <c:v>III-22</c:v>
                </c:pt>
                <c:pt idx="11">
                  <c:v>IV-22</c:v>
                </c:pt>
                <c:pt idx="12">
                  <c:v>I-23</c:v>
                </c:pt>
                <c:pt idx="13">
                  <c:v>II-23</c:v>
                </c:pt>
                <c:pt idx="14">
                  <c:v>III-23</c:v>
                </c:pt>
                <c:pt idx="15">
                  <c:v>IV-23</c:v>
                </c:pt>
                <c:pt idx="16">
                  <c:v>I-24</c:v>
                </c:pt>
                <c:pt idx="17">
                  <c:v>II-24</c:v>
                </c:pt>
                <c:pt idx="18">
                  <c:v>III-24</c:v>
                </c:pt>
                <c:pt idx="19">
                  <c:v>IV-24</c:v>
                </c:pt>
                <c:pt idx="20">
                  <c:v>I-25</c:v>
                </c:pt>
                <c:pt idx="21">
                  <c:v>II-25</c:v>
                </c:pt>
                <c:pt idx="22">
                  <c:v>III-25</c:v>
                </c:pt>
                <c:pt idx="23">
                  <c:v>IV-25</c:v>
                </c:pt>
                <c:pt idx="24">
                  <c:v>I-26</c:v>
                </c:pt>
                <c:pt idx="25">
                  <c:v>II-26</c:v>
                </c:pt>
              </c:strCache>
            </c:strRef>
          </c:cat>
          <c:val>
            <c:numRef>
              <c:f>'Serie completa 2020-2026'!$N$5:$N$30</c:f>
              <c:numCache>
                <c:formatCode>0.0</c:formatCode>
                <c:ptCount val="26"/>
                <c:pt idx="3">
                  <c:v>13.9641304347826</c:v>
                </c:pt>
                <c:pt idx="4">
                  <c:v>13.9567193675889</c:v>
                </c:pt>
                <c:pt idx="5">
                  <c:v>13.9493083003953</c:v>
                </c:pt>
                <c:pt idx="6">
                  <c:v>13.9418972332016</c:v>
                </c:pt>
                <c:pt idx="7">
                  <c:v>13.9344861660079</c:v>
                </c:pt>
                <c:pt idx="8">
                  <c:v>13.9270750988142</c:v>
                </c:pt>
                <c:pt idx="9">
                  <c:v>13.9196640316206</c:v>
                </c:pt>
                <c:pt idx="10">
                  <c:v>13.9122529644269</c:v>
                </c:pt>
                <c:pt idx="11">
                  <c:v>13.9048418972332</c:v>
                </c:pt>
                <c:pt idx="12">
                  <c:v>13.8974308300395</c:v>
                </c:pt>
                <c:pt idx="13">
                  <c:v>13.8900197628459</c:v>
                </c:pt>
                <c:pt idx="14">
                  <c:v>13.8826086956522</c:v>
                </c:pt>
                <c:pt idx="15">
                  <c:v>13.8751976284585</c:v>
                </c:pt>
                <c:pt idx="16">
                  <c:v>13.8677865612648</c:v>
                </c:pt>
                <c:pt idx="17">
                  <c:v>13.8603754940711</c:v>
                </c:pt>
                <c:pt idx="18">
                  <c:v>13.8529644268775</c:v>
                </c:pt>
                <c:pt idx="19">
                  <c:v>13.8455533596838</c:v>
                </c:pt>
                <c:pt idx="20">
                  <c:v>13.8381422924901</c:v>
                </c:pt>
                <c:pt idx="21">
                  <c:v>13.8307312252964</c:v>
                </c:pt>
                <c:pt idx="22">
                  <c:v>13.8233201581028</c:v>
                </c:pt>
                <c:pt idx="23">
                  <c:v>13.8159090909091</c:v>
                </c:pt>
                <c:pt idx="24">
                  <c:v>13.8084980237154</c:v>
                </c:pt>
                <c:pt idx="25">
                  <c:v>13.8010869565217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'Serie completa 2020-2026'!O4</c:f>
              <c:strCache>
                <c:ptCount val="1"/>
                <c:pt idx="0">
                  <c:v>Tendencia lineal desde I-23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'Serie completa 2020-2026'!$A$5:$A$30</c:f>
              <c:strCache>
                <c:ptCount val="26"/>
                <c:pt idx="0">
                  <c:v>I-20</c:v>
                </c:pt>
                <c:pt idx="1">
                  <c:v>II-20</c:v>
                </c:pt>
                <c:pt idx="2">
                  <c:v>III-20</c:v>
                </c:pt>
                <c:pt idx="3">
                  <c:v>IV-20</c:v>
                </c:pt>
                <c:pt idx="4">
                  <c:v>I-21</c:v>
                </c:pt>
                <c:pt idx="5">
                  <c:v>II-21</c:v>
                </c:pt>
                <c:pt idx="6">
                  <c:v>III-21</c:v>
                </c:pt>
                <c:pt idx="7">
                  <c:v>IV-21</c:v>
                </c:pt>
                <c:pt idx="8">
                  <c:v>I-22</c:v>
                </c:pt>
                <c:pt idx="9">
                  <c:v>II-22</c:v>
                </c:pt>
                <c:pt idx="10">
                  <c:v>III-22</c:v>
                </c:pt>
                <c:pt idx="11">
                  <c:v>IV-22</c:v>
                </c:pt>
                <c:pt idx="12">
                  <c:v>I-23</c:v>
                </c:pt>
                <c:pt idx="13">
                  <c:v>II-23</c:v>
                </c:pt>
                <c:pt idx="14">
                  <c:v>III-23</c:v>
                </c:pt>
                <c:pt idx="15">
                  <c:v>IV-23</c:v>
                </c:pt>
                <c:pt idx="16">
                  <c:v>I-24</c:v>
                </c:pt>
                <c:pt idx="17">
                  <c:v>II-24</c:v>
                </c:pt>
                <c:pt idx="18">
                  <c:v>III-24</c:v>
                </c:pt>
                <c:pt idx="19">
                  <c:v>IV-24</c:v>
                </c:pt>
                <c:pt idx="20">
                  <c:v>I-25</c:v>
                </c:pt>
                <c:pt idx="21">
                  <c:v>II-25</c:v>
                </c:pt>
                <c:pt idx="22">
                  <c:v>III-25</c:v>
                </c:pt>
                <c:pt idx="23">
                  <c:v>IV-25</c:v>
                </c:pt>
                <c:pt idx="24">
                  <c:v>I-26</c:v>
                </c:pt>
                <c:pt idx="25">
                  <c:v>II-26</c:v>
                </c:pt>
              </c:strCache>
            </c:strRef>
          </c:cat>
          <c:val>
            <c:numRef>
              <c:f>'Serie completa 2020-2026'!$O$5:$O$30</c:f>
              <c:numCache>
                <c:formatCode>0.0</c:formatCode>
                <c:ptCount val="26"/>
                <c:pt idx="12">
                  <c:v>15.7685714285714</c:v>
                </c:pt>
                <c:pt idx="13">
                  <c:v>15.5107692307692</c:v>
                </c:pt>
                <c:pt idx="14">
                  <c:v>15.252967032967</c:v>
                </c:pt>
                <c:pt idx="15">
                  <c:v>14.9951648351648</c:v>
                </c:pt>
                <c:pt idx="16">
                  <c:v>14.7373626373626</c:v>
                </c:pt>
                <c:pt idx="17">
                  <c:v>14.4795604395604</c:v>
                </c:pt>
                <c:pt idx="18">
                  <c:v>14.2217582417582</c:v>
                </c:pt>
                <c:pt idx="19">
                  <c:v>13.963956043956</c:v>
                </c:pt>
                <c:pt idx="20">
                  <c:v>13.7061538461538</c:v>
                </c:pt>
                <c:pt idx="21">
                  <c:v>13.4483516483516</c:v>
                </c:pt>
                <c:pt idx="22">
                  <c:v>13.1905494505495</c:v>
                </c:pt>
                <c:pt idx="23">
                  <c:v>12.9327472527473</c:v>
                </c:pt>
                <c:pt idx="24">
                  <c:v>12.6749450549451</c:v>
                </c:pt>
                <c:pt idx="25">
                  <c:v>12.4171428571429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218196"/>
        <c:axId val="83968845"/>
      </c:lineChart>
      <c:catAx>
        <c:axId val="302181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68845"/>
        <c:crosses val="autoZero"/>
        <c:auto val="1"/>
        <c:lblAlgn val="ctr"/>
        <c:lblOffset val="100"/>
        <c:noMultiLvlLbl val="0"/>
      </c:catAx>
      <c:valAx>
        <c:axId val="8396884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empresas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181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Índice de costo: tasas de interés, 2020-2026 (50 = sin cambio)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'Serie completa 2020-2026'!J4</c:f>
              <c:strCache>
                <c:ptCount val="1"/>
                <c:pt idx="0">
                  <c:v>ID tasas de interés (índice)*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5840">
                <a:solidFill>
                  <a:srgbClr val="eb6834"/>
                </a:solidFill>
                <a:prstDash val="dash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'Serie completa 2020-2026'!$A$5:$A$30</c:f>
              <c:strCache>
                <c:ptCount val="26"/>
                <c:pt idx="0">
                  <c:v>I-20</c:v>
                </c:pt>
                <c:pt idx="1">
                  <c:v>II-20</c:v>
                </c:pt>
                <c:pt idx="2">
                  <c:v>III-20</c:v>
                </c:pt>
                <c:pt idx="3">
                  <c:v>IV-20</c:v>
                </c:pt>
                <c:pt idx="4">
                  <c:v>I-21</c:v>
                </c:pt>
                <c:pt idx="5">
                  <c:v>II-21</c:v>
                </c:pt>
                <c:pt idx="6">
                  <c:v>III-21</c:v>
                </c:pt>
                <c:pt idx="7">
                  <c:v>IV-21</c:v>
                </c:pt>
                <c:pt idx="8">
                  <c:v>I-22</c:v>
                </c:pt>
                <c:pt idx="9">
                  <c:v>II-22</c:v>
                </c:pt>
                <c:pt idx="10">
                  <c:v>III-22</c:v>
                </c:pt>
                <c:pt idx="11">
                  <c:v>IV-22</c:v>
                </c:pt>
                <c:pt idx="12">
                  <c:v>I-23</c:v>
                </c:pt>
                <c:pt idx="13">
                  <c:v>II-23</c:v>
                </c:pt>
                <c:pt idx="14">
                  <c:v>III-23</c:v>
                </c:pt>
                <c:pt idx="15">
                  <c:v>IV-23</c:v>
                </c:pt>
                <c:pt idx="16">
                  <c:v>I-24</c:v>
                </c:pt>
                <c:pt idx="17">
                  <c:v>II-24</c:v>
                </c:pt>
                <c:pt idx="18">
                  <c:v>III-24</c:v>
                </c:pt>
                <c:pt idx="19">
                  <c:v>IV-24</c:v>
                </c:pt>
                <c:pt idx="20">
                  <c:v>I-25</c:v>
                </c:pt>
                <c:pt idx="21">
                  <c:v>II-25</c:v>
                </c:pt>
                <c:pt idx="22">
                  <c:v>III-25</c:v>
                </c:pt>
                <c:pt idx="23">
                  <c:v>IV-25</c:v>
                </c:pt>
                <c:pt idx="24">
                  <c:v>I-26</c:v>
                </c:pt>
                <c:pt idx="25">
                  <c:v>II-26</c:v>
                </c:pt>
              </c:strCache>
            </c:strRef>
          </c:cat>
          <c:val>
            <c:numRef>
              <c:f>'Serie completa 2020-2026'!$J$5:$J$30</c:f>
              <c:numCache>
                <c:formatCode>0.0</c:formatCode>
                <c:ptCount val="26"/>
                <c:pt idx="0">
                  <c:v>61.1</c:v>
                </c:pt>
                <c:pt idx="1">
                  <c:v>38.5</c:v>
                </c:pt>
                <c:pt idx="2">
                  <c:v>50.8</c:v>
                </c:pt>
                <c:pt idx="3">
                  <c:v>45.1</c:v>
                </c:pt>
                <c:pt idx="4">
                  <c:v>52.8</c:v>
                </c:pt>
                <c:pt idx="5">
                  <c:v>32.6</c:v>
                </c:pt>
                <c:pt idx="6">
                  <c:v>33.8</c:v>
                </c:pt>
                <c:pt idx="7">
                  <c:v>27.7</c:v>
                </c:pt>
                <c:pt idx="8">
                  <c:v>23.6</c:v>
                </c:pt>
                <c:pt idx="9">
                  <c:v>19.2</c:v>
                </c:pt>
                <c:pt idx="10">
                  <c:v>23.8</c:v>
                </c:pt>
                <c:pt idx="11">
                  <c:v>23.7</c:v>
                </c:pt>
                <c:pt idx="12">
                  <c:v>28.9</c:v>
                </c:pt>
                <c:pt idx="13">
                  <c:v>27.6</c:v>
                </c:pt>
                <c:pt idx="14">
                  <c:v>38.9</c:v>
                </c:pt>
                <c:pt idx="15">
                  <c:v>28.7</c:v>
                </c:pt>
                <c:pt idx="16">
                  <c:v>26.8</c:v>
                </c:pt>
                <c:pt idx="17">
                  <c:v>28</c:v>
                </c:pt>
                <c:pt idx="18">
                  <c:v>41.1</c:v>
                </c:pt>
                <c:pt idx="19">
                  <c:v>33.7</c:v>
                </c:pt>
                <c:pt idx="20">
                  <c:v>39.3</c:v>
                </c:pt>
                <c:pt idx="21">
                  <c:v>46.7</c:v>
                </c:pt>
                <c:pt idx="22">
                  <c:v>49</c:v>
                </c:pt>
                <c:pt idx="23">
                  <c:v>47.6</c:v>
                </c:pt>
                <c:pt idx="24">
                  <c:v>44.9</c:v>
                </c:pt>
                <c:pt idx="25">
                  <c:v>39.4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9918712"/>
        <c:axId val="18022226"/>
      </c:lineChart>
      <c:catAx>
        <c:axId val="9991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22226"/>
        <c:crosses val="autoZero"/>
        <c:auto val="1"/>
        <c:lblAlgn val="ctr"/>
        <c:lblOffset val="100"/>
        <c:noMultiLvlLbl val="0"/>
      </c:catAx>
      <c:valAx>
        <c:axId val="1802222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Índice de difusión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187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Nuevo crédito bancario por año, 2020-2026 (promedio de trimestres, % de empresas)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'Resumen anual'!D4</c:f>
              <c:strCache>
                <c:ptCount val="1"/>
                <c:pt idx="0">
                  <c:v>Usaron nuevo crédito (promedio)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anual'!$T$5:$T$12</c:f>
              <c:strCache>
                <c:ptCount val="8"/>
                <c:pt idx="0">
                  <c:v>2020 ant.</c:v>
                </c:pt>
                <c:pt idx="1">
                  <c:v>2020 vig. (IV)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 (I-II)</c:v>
                </c:pt>
              </c:strCache>
            </c:strRef>
          </c:cat>
          <c:val>
            <c:numRef>
              <c:f>'Resumen anual'!$D$5:$D$12</c:f>
              <c:numCache>
                <c:formatCode>0.0</c:formatCode>
                <c:ptCount val="8"/>
                <c:pt idx="0">
                  <c:v>20.4</c:v>
                </c:pt>
                <c:pt idx="1">
                  <c:v>13.6</c:v>
                </c:pt>
                <c:pt idx="2">
                  <c:v>11.75</c:v>
                </c:pt>
                <c:pt idx="3">
                  <c:v>15.35</c:v>
                </c:pt>
                <c:pt idx="4">
                  <c:v>15.375</c:v>
                </c:pt>
                <c:pt idx="5">
                  <c:v>14.125</c:v>
                </c:pt>
                <c:pt idx="6">
                  <c:v>13.75</c:v>
                </c:pt>
                <c:pt idx="7">
                  <c:v>12.15</c:v>
                </c:pt>
              </c:numCache>
            </c:numRef>
          </c:val>
        </c:ser>
        <c:ser>
          <c:idx val="1"/>
          <c:order val="1"/>
          <c:tx>
            <c:strRef>
              <c:f>'Resumen anual'!E4</c:f>
              <c:strCache>
                <c:ptCount val="1"/>
                <c:pt idx="0">
                  <c:v>Nuevo crédito, solo IV trimestre (no acumulado)</c:v>
                </c:pt>
              </c:strCache>
            </c:strRef>
          </c:tx>
          <c:spPr>
            <a:solidFill>
              <a:srgbClr val="b4b4b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anual'!$T$5:$T$12</c:f>
              <c:strCache>
                <c:ptCount val="8"/>
                <c:pt idx="0">
                  <c:v>2020 ant.</c:v>
                </c:pt>
                <c:pt idx="1">
                  <c:v>2020 vig. (IV)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 (I-II)</c:v>
                </c:pt>
              </c:strCache>
            </c:strRef>
          </c:cat>
          <c:val>
            <c:numRef>
              <c:f>'Resumen anual'!$E$5:$E$12</c:f>
              <c:numCache>
                <c:formatCode>0.0</c:formatCode>
                <c:ptCount val="8"/>
                <c:pt idx="0">
                  <c:v>16.8</c:v>
                </c:pt>
                <c:pt idx="1">
                  <c:v>13.6</c:v>
                </c:pt>
                <c:pt idx="2">
                  <c:v>9</c:v>
                </c:pt>
                <c:pt idx="3">
                  <c:v>13.8</c:v>
                </c:pt>
                <c:pt idx="4">
                  <c:v>15.6</c:v>
                </c:pt>
                <c:pt idx="5">
                  <c:v>12.1</c:v>
                </c:pt>
                <c:pt idx="6">
                  <c:v>15.3</c:v>
                </c:pt>
              </c:numCache>
            </c:numRef>
          </c:val>
        </c:ser>
        <c:gapWidth val="60"/>
        <c:overlap val="0"/>
        <c:axId val="39025440"/>
        <c:axId val="36260804"/>
      </c:barChart>
      <c:catAx>
        <c:axId val="3902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60804"/>
        <c:crosses val="autoZero"/>
        <c:auto val="1"/>
        <c:lblAlgn val="ctr"/>
        <c:lblOffset val="100"/>
        <c:noMultiLvlLbl val="0"/>
      </c:catAx>
      <c:valAx>
        <c:axId val="362608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empresas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254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 crédito bancario al inicio del trimestre, por tamaño (% de empresas)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Series!M4</c:f>
              <c:strCache>
                <c:ptCount val="1"/>
                <c:pt idx="0">
                  <c:v>Con crédito — más de 100 empl.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5840">
                <a:solidFill>
                  <a:srgbClr val="eb6834"/>
                </a:solidFill>
                <a:prstDash val="dash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Series!$A$5:$A$27</c:f>
              <c:strCache>
                <c:ptCount val="23"/>
                <c:pt idx="0">
                  <c:v>IV-20</c:v>
                </c:pt>
                <c:pt idx="1">
                  <c:v>I-21</c:v>
                </c:pt>
                <c:pt idx="2">
                  <c:v>II-21</c:v>
                </c:pt>
                <c:pt idx="3">
                  <c:v>III-21</c:v>
                </c:pt>
                <c:pt idx="4">
                  <c:v>IV-21</c:v>
                </c:pt>
                <c:pt idx="5">
                  <c:v>I-22</c:v>
                </c:pt>
                <c:pt idx="6">
                  <c:v>II-22</c:v>
                </c:pt>
                <c:pt idx="7">
                  <c:v>III-22</c:v>
                </c:pt>
                <c:pt idx="8">
                  <c:v>IV-22</c:v>
                </c:pt>
                <c:pt idx="9">
                  <c:v>I-23</c:v>
                </c:pt>
                <c:pt idx="10">
                  <c:v>II-23</c:v>
                </c:pt>
                <c:pt idx="11">
                  <c:v>III-23</c:v>
                </c:pt>
                <c:pt idx="12">
                  <c:v>IV-23</c:v>
                </c:pt>
                <c:pt idx="13">
                  <c:v>I-24</c:v>
                </c:pt>
                <c:pt idx="14">
                  <c:v>II-24</c:v>
                </c:pt>
                <c:pt idx="15">
                  <c:v>III-24</c:v>
                </c:pt>
                <c:pt idx="16">
                  <c:v>IV-24</c:v>
                </c:pt>
                <c:pt idx="17">
                  <c:v>I-25</c:v>
                </c:pt>
                <c:pt idx="18">
                  <c:v>II-25</c:v>
                </c:pt>
                <c:pt idx="19">
                  <c:v>III-25</c:v>
                </c:pt>
                <c:pt idx="20">
                  <c:v>IV-25</c:v>
                </c:pt>
                <c:pt idx="21">
                  <c:v>I-26</c:v>
                </c:pt>
                <c:pt idx="22">
                  <c:v>II-26</c:v>
                </c:pt>
              </c:strCache>
            </c:strRef>
          </c:cat>
          <c:val>
            <c:numRef>
              <c:f>Series!$M$5:$M$27</c:f>
              <c:numCache>
                <c:formatCode>0.0</c:formatCode>
                <c:ptCount val="23"/>
                <c:pt idx="0">
                  <c:v>46.9</c:v>
                </c:pt>
                <c:pt idx="1">
                  <c:v>51.9</c:v>
                </c:pt>
                <c:pt idx="2">
                  <c:v>48.6</c:v>
                </c:pt>
                <c:pt idx="3">
                  <c:v>52.1</c:v>
                </c:pt>
                <c:pt idx="4">
                  <c:v>54.4</c:v>
                </c:pt>
                <c:pt idx="5">
                  <c:v>47.8</c:v>
                </c:pt>
                <c:pt idx="6">
                  <c:v>51.8</c:v>
                </c:pt>
                <c:pt idx="7">
                  <c:v>45.1</c:v>
                </c:pt>
                <c:pt idx="8">
                  <c:v>38.9</c:v>
                </c:pt>
                <c:pt idx="9">
                  <c:v>44.8</c:v>
                </c:pt>
                <c:pt idx="10">
                  <c:v>43.4</c:v>
                </c:pt>
                <c:pt idx="11">
                  <c:v>42.4</c:v>
                </c:pt>
                <c:pt idx="12">
                  <c:v>44.3</c:v>
                </c:pt>
                <c:pt idx="13">
                  <c:v>46.5</c:v>
                </c:pt>
                <c:pt idx="14">
                  <c:v>46.2</c:v>
                </c:pt>
                <c:pt idx="15">
                  <c:v>47.5</c:v>
                </c:pt>
                <c:pt idx="16">
                  <c:v>48</c:v>
                </c:pt>
                <c:pt idx="17">
                  <c:v>45.9</c:v>
                </c:pt>
                <c:pt idx="18">
                  <c:v>46</c:v>
                </c:pt>
                <c:pt idx="19">
                  <c:v>45.5</c:v>
                </c:pt>
                <c:pt idx="20">
                  <c:v>48</c:v>
                </c:pt>
                <c:pt idx="21">
                  <c:v>46.5</c:v>
                </c:pt>
                <c:pt idx="22">
                  <c:v>49.7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Series!L4</c:f>
              <c:strCache>
                <c:ptCount val="1"/>
                <c:pt idx="0">
                  <c:v>Con crédito — hasta 100 empl.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5840">
                <a:solidFill>
                  <a:srgbClr val="2a78d6"/>
                </a:solidFill>
                <a:prstDash val="dash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Series!$A$5:$A$27</c:f>
              <c:strCache>
                <c:ptCount val="23"/>
                <c:pt idx="0">
                  <c:v>IV-20</c:v>
                </c:pt>
                <c:pt idx="1">
                  <c:v>I-21</c:v>
                </c:pt>
                <c:pt idx="2">
                  <c:v>II-21</c:v>
                </c:pt>
                <c:pt idx="3">
                  <c:v>III-21</c:v>
                </c:pt>
                <c:pt idx="4">
                  <c:v>IV-21</c:v>
                </c:pt>
                <c:pt idx="5">
                  <c:v>I-22</c:v>
                </c:pt>
                <c:pt idx="6">
                  <c:v>II-22</c:v>
                </c:pt>
                <c:pt idx="7">
                  <c:v>III-22</c:v>
                </c:pt>
                <c:pt idx="8">
                  <c:v>IV-22</c:v>
                </c:pt>
                <c:pt idx="9">
                  <c:v>I-23</c:v>
                </c:pt>
                <c:pt idx="10">
                  <c:v>II-23</c:v>
                </c:pt>
                <c:pt idx="11">
                  <c:v>III-23</c:v>
                </c:pt>
                <c:pt idx="12">
                  <c:v>IV-23</c:v>
                </c:pt>
                <c:pt idx="13">
                  <c:v>I-24</c:v>
                </c:pt>
                <c:pt idx="14">
                  <c:v>II-24</c:v>
                </c:pt>
                <c:pt idx="15">
                  <c:v>III-24</c:v>
                </c:pt>
                <c:pt idx="16">
                  <c:v>IV-24</c:v>
                </c:pt>
                <c:pt idx="17">
                  <c:v>I-25</c:v>
                </c:pt>
                <c:pt idx="18">
                  <c:v>II-25</c:v>
                </c:pt>
                <c:pt idx="19">
                  <c:v>III-25</c:v>
                </c:pt>
                <c:pt idx="20">
                  <c:v>IV-25</c:v>
                </c:pt>
                <c:pt idx="21">
                  <c:v>I-26</c:v>
                </c:pt>
                <c:pt idx="22">
                  <c:v>II-26</c:v>
                </c:pt>
              </c:strCache>
            </c:strRef>
          </c:cat>
          <c:val>
            <c:numRef>
              <c:f>Series!$L$5:$L$27</c:f>
              <c:numCache>
                <c:formatCode>0.0</c:formatCode>
                <c:ptCount val="23"/>
                <c:pt idx="0">
                  <c:v>38.7</c:v>
                </c:pt>
                <c:pt idx="1">
                  <c:v>37.5</c:v>
                </c:pt>
                <c:pt idx="2">
                  <c:v>35</c:v>
                </c:pt>
                <c:pt idx="3">
                  <c:v>35.6</c:v>
                </c:pt>
                <c:pt idx="4">
                  <c:v>35.3</c:v>
                </c:pt>
                <c:pt idx="5">
                  <c:v>41.1</c:v>
                </c:pt>
                <c:pt idx="6">
                  <c:v>38.7</c:v>
                </c:pt>
                <c:pt idx="7">
                  <c:v>37</c:v>
                </c:pt>
                <c:pt idx="8">
                  <c:v>36.9</c:v>
                </c:pt>
                <c:pt idx="9">
                  <c:v>35.7</c:v>
                </c:pt>
                <c:pt idx="10">
                  <c:v>36.6</c:v>
                </c:pt>
                <c:pt idx="11">
                  <c:v>35.5</c:v>
                </c:pt>
                <c:pt idx="12">
                  <c:v>40.1</c:v>
                </c:pt>
                <c:pt idx="13">
                  <c:v>38.6</c:v>
                </c:pt>
                <c:pt idx="14">
                  <c:v>39.3</c:v>
                </c:pt>
                <c:pt idx="15">
                  <c:v>38.9</c:v>
                </c:pt>
                <c:pt idx="16">
                  <c:v>34.8</c:v>
                </c:pt>
                <c:pt idx="17">
                  <c:v>36.3</c:v>
                </c:pt>
                <c:pt idx="18">
                  <c:v>34.5</c:v>
                </c:pt>
                <c:pt idx="19">
                  <c:v>36.6</c:v>
                </c:pt>
                <c:pt idx="20">
                  <c:v>37.1</c:v>
                </c:pt>
                <c:pt idx="21">
                  <c:v>35.8</c:v>
                </c:pt>
                <c:pt idx="22">
                  <c:v>35.7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240075"/>
        <c:axId val="1250838"/>
      </c:lineChart>
      <c:catAx>
        <c:axId val="54240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0838"/>
        <c:crosses val="autoZero"/>
        <c:auto val="1"/>
        <c:lblAlgn val="ctr"/>
        <c:lblOffset val="100"/>
        <c:noMultiLvlLbl val="0"/>
      </c:catAx>
      <c:valAx>
        <c:axId val="12508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empresas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400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Usaron nuevo crédito bancario, por tamaño (% de empresas; trimestres con dato)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Series!P4</c:f>
              <c:strCache>
                <c:ptCount val="1"/>
                <c:pt idx="0">
                  <c:v>Nuevo crédito — más de 100 empl.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5840">
                <a:solidFill>
                  <a:srgbClr val="eb6834"/>
                </a:solidFill>
                <a:prstDash val="dash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Series!$A$5:$A$27</c:f>
              <c:strCache>
                <c:ptCount val="23"/>
                <c:pt idx="0">
                  <c:v>IV-20</c:v>
                </c:pt>
                <c:pt idx="1">
                  <c:v>I-21</c:v>
                </c:pt>
                <c:pt idx="2">
                  <c:v>II-21</c:v>
                </c:pt>
                <c:pt idx="3">
                  <c:v>III-21</c:v>
                </c:pt>
                <c:pt idx="4">
                  <c:v>IV-21</c:v>
                </c:pt>
                <c:pt idx="5">
                  <c:v>I-22</c:v>
                </c:pt>
                <c:pt idx="6">
                  <c:v>II-22</c:v>
                </c:pt>
                <c:pt idx="7">
                  <c:v>III-22</c:v>
                </c:pt>
                <c:pt idx="8">
                  <c:v>IV-22</c:v>
                </c:pt>
                <c:pt idx="9">
                  <c:v>I-23</c:v>
                </c:pt>
                <c:pt idx="10">
                  <c:v>II-23</c:v>
                </c:pt>
                <c:pt idx="11">
                  <c:v>III-23</c:v>
                </c:pt>
                <c:pt idx="12">
                  <c:v>IV-23</c:v>
                </c:pt>
                <c:pt idx="13">
                  <c:v>I-24</c:v>
                </c:pt>
                <c:pt idx="14">
                  <c:v>II-24</c:v>
                </c:pt>
                <c:pt idx="15">
                  <c:v>III-24</c:v>
                </c:pt>
                <c:pt idx="16">
                  <c:v>IV-24</c:v>
                </c:pt>
                <c:pt idx="17">
                  <c:v>I-25</c:v>
                </c:pt>
                <c:pt idx="18">
                  <c:v>II-25</c:v>
                </c:pt>
                <c:pt idx="19">
                  <c:v>III-25</c:v>
                </c:pt>
                <c:pt idx="20">
                  <c:v>IV-25</c:v>
                </c:pt>
                <c:pt idx="21">
                  <c:v>I-26</c:v>
                </c:pt>
                <c:pt idx="22">
                  <c:v>II-26</c:v>
                </c:pt>
              </c:strCache>
            </c:strRef>
          </c:cat>
          <c:val>
            <c:numRef>
              <c:f>Series!$P$5:$P$27</c:f>
              <c:numCache>
                <c:formatCode>0.0</c:formatCode>
                <c:ptCount val="23"/>
                <c:pt idx="8">
                  <c:v>20.5</c:v>
                </c:pt>
                <c:pt idx="10">
                  <c:v>21.6</c:v>
                </c:pt>
                <c:pt idx="12">
                  <c:v>18.6</c:v>
                </c:pt>
                <c:pt idx="13">
                  <c:v>20.2</c:v>
                </c:pt>
                <c:pt idx="14">
                  <c:v>22.2</c:v>
                </c:pt>
                <c:pt idx="16">
                  <c:v>21.4</c:v>
                </c:pt>
                <c:pt idx="18">
                  <c:v>21.4</c:v>
                </c:pt>
                <c:pt idx="20">
                  <c:v>22.2</c:v>
                </c:pt>
                <c:pt idx="21">
                  <c:v>20.4</c:v>
                </c:pt>
                <c:pt idx="22">
                  <c:v>21.6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Series!O4</c:f>
              <c:strCache>
                <c:ptCount val="1"/>
                <c:pt idx="0">
                  <c:v>Nuevo crédito — hasta 100 empl.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5840">
                <a:solidFill>
                  <a:srgbClr val="2a78d6"/>
                </a:solidFill>
                <a:prstDash val="dash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Series!$A$5:$A$27</c:f>
              <c:strCache>
                <c:ptCount val="23"/>
                <c:pt idx="0">
                  <c:v>IV-20</c:v>
                </c:pt>
                <c:pt idx="1">
                  <c:v>I-21</c:v>
                </c:pt>
                <c:pt idx="2">
                  <c:v>II-21</c:v>
                </c:pt>
                <c:pt idx="3">
                  <c:v>III-21</c:v>
                </c:pt>
                <c:pt idx="4">
                  <c:v>IV-21</c:v>
                </c:pt>
                <c:pt idx="5">
                  <c:v>I-22</c:v>
                </c:pt>
                <c:pt idx="6">
                  <c:v>II-22</c:v>
                </c:pt>
                <c:pt idx="7">
                  <c:v>III-22</c:v>
                </c:pt>
                <c:pt idx="8">
                  <c:v>IV-22</c:v>
                </c:pt>
                <c:pt idx="9">
                  <c:v>I-23</c:v>
                </c:pt>
                <c:pt idx="10">
                  <c:v>II-23</c:v>
                </c:pt>
                <c:pt idx="11">
                  <c:v>III-23</c:v>
                </c:pt>
                <c:pt idx="12">
                  <c:v>IV-23</c:v>
                </c:pt>
                <c:pt idx="13">
                  <c:v>I-24</c:v>
                </c:pt>
                <c:pt idx="14">
                  <c:v>II-24</c:v>
                </c:pt>
                <c:pt idx="15">
                  <c:v>III-24</c:v>
                </c:pt>
                <c:pt idx="16">
                  <c:v>IV-24</c:v>
                </c:pt>
                <c:pt idx="17">
                  <c:v>I-25</c:v>
                </c:pt>
                <c:pt idx="18">
                  <c:v>II-25</c:v>
                </c:pt>
                <c:pt idx="19">
                  <c:v>III-25</c:v>
                </c:pt>
                <c:pt idx="20">
                  <c:v>IV-25</c:v>
                </c:pt>
                <c:pt idx="21">
                  <c:v>I-26</c:v>
                </c:pt>
                <c:pt idx="22">
                  <c:v>II-26</c:v>
                </c:pt>
              </c:strCache>
            </c:strRef>
          </c:cat>
          <c:val>
            <c:numRef>
              <c:f>Series!$O$5:$O$27</c:f>
              <c:numCache>
                <c:formatCode>0.0</c:formatCode>
                <c:ptCount val="23"/>
                <c:pt idx="8">
                  <c:v>13</c:v>
                </c:pt>
                <c:pt idx="10">
                  <c:v>14</c:v>
                </c:pt>
                <c:pt idx="12">
                  <c:v>15.3</c:v>
                </c:pt>
                <c:pt idx="13">
                  <c:v>16.3</c:v>
                </c:pt>
                <c:pt idx="14">
                  <c:v>11.2</c:v>
                </c:pt>
                <c:pt idx="16">
                  <c:v>10.9</c:v>
                </c:pt>
                <c:pt idx="18">
                  <c:v>14.1</c:v>
                </c:pt>
                <c:pt idx="20">
                  <c:v>14.5</c:v>
                </c:pt>
                <c:pt idx="21">
                  <c:v>12.1</c:v>
                </c:pt>
                <c:pt idx="22">
                  <c:v>9.9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716380"/>
        <c:axId val="95793477"/>
      </c:lineChart>
      <c:catAx>
        <c:axId val="217163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93477"/>
        <c:crosses val="autoZero"/>
        <c:auto val="1"/>
        <c:lblAlgn val="ctr"/>
        <c:lblOffset val="100"/>
        <c:noMultiLvlLbl val="0"/>
      </c:catAx>
      <c:valAx>
        <c:axId val="957934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empresas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163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span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Brecha por tamaño por año: más de 100 menos hasta 100 empleados (pp)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'Por tamaño'!D36</c:f>
              <c:strCache>
                <c:ptCount val="1"/>
                <c:pt idx="0">
                  <c:v>Brecha con crédito (pp)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tamaño'!$A$37:$A$43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'Por tamaño'!$D$37:$D$43</c:f>
              <c:numCache>
                <c:formatCode>0.0</c:formatCode>
                <c:ptCount val="7"/>
                <c:pt idx="0">
                  <c:v>8.2</c:v>
                </c:pt>
                <c:pt idx="1">
                  <c:v>15.9</c:v>
                </c:pt>
                <c:pt idx="2">
                  <c:v>7.475</c:v>
                </c:pt>
                <c:pt idx="3">
                  <c:v>6.75</c:v>
                </c:pt>
                <c:pt idx="4">
                  <c:v>9.15</c:v>
                </c:pt>
                <c:pt idx="5">
                  <c:v>10.225</c:v>
                </c:pt>
                <c:pt idx="6">
                  <c:v>12.35</c:v>
                </c:pt>
              </c:numCache>
            </c:numRef>
          </c:val>
        </c:ser>
        <c:ser>
          <c:idx val="1"/>
          <c:order val="1"/>
          <c:tx>
            <c:strRef>
              <c:f>'Por tamaño'!G36</c:f>
              <c:strCache>
                <c:ptCount val="1"/>
                <c:pt idx="0">
                  <c:v>Brecha nuevo crédito (pp)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tamaño'!$A$37:$A$43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'Por tamaño'!$G$37:$G$43</c:f>
              <c:numCache>
                <c:formatCode>0.0</c:formatCode>
                <c:ptCount val="7"/>
                <c:pt idx="2">
                  <c:v>7.5</c:v>
                </c:pt>
                <c:pt idx="3">
                  <c:v>5.45</c:v>
                </c:pt>
                <c:pt idx="4">
                  <c:v>8.467</c:v>
                </c:pt>
                <c:pt idx="5">
                  <c:v>7.5</c:v>
                </c:pt>
                <c:pt idx="6">
                  <c:v>10</c:v>
                </c:pt>
              </c:numCache>
            </c:numRef>
          </c:val>
        </c:ser>
        <c:gapWidth val="60"/>
        <c:overlap val="0"/>
        <c:axId val="34816843"/>
        <c:axId val="53751210"/>
      </c:barChart>
      <c:catAx>
        <c:axId val="348168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51210"/>
        <c:crosses val="autoZero"/>
        <c:auto val="1"/>
        <c:lblAlgn val="ctr"/>
        <c:lblOffset val="100"/>
        <c:noMultiLvlLbl val="0"/>
      </c:catAx>
      <c:valAx>
        <c:axId val="5375121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 porcentuales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168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Tasa de rechazo de solicitudes de crédito bancario, III-2022 a II-2026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Series!$A$12:$A$27</c:f>
              <c:strCache>
                <c:ptCount val="16"/>
                <c:pt idx="0">
                  <c:v>III-22</c:v>
                </c:pt>
                <c:pt idx="1">
                  <c:v>IV-22</c:v>
                </c:pt>
                <c:pt idx="2">
                  <c:v>I-23</c:v>
                </c:pt>
                <c:pt idx="3">
                  <c:v>II-23</c:v>
                </c:pt>
                <c:pt idx="4">
                  <c:v>III-23</c:v>
                </c:pt>
                <c:pt idx="5">
                  <c:v>IV-23</c:v>
                </c:pt>
                <c:pt idx="6">
                  <c:v>I-24</c:v>
                </c:pt>
                <c:pt idx="7">
                  <c:v>II-24</c:v>
                </c:pt>
                <c:pt idx="8">
                  <c:v>III-24</c:v>
                </c:pt>
                <c:pt idx="9">
                  <c:v>IV-24</c:v>
                </c:pt>
                <c:pt idx="10">
                  <c:v>I-25</c:v>
                </c:pt>
                <c:pt idx="11">
                  <c:v>II-25</c:v>
                </c:pt>
                <c:pt idx="12">
                  <c:v>III-25</c:v>
                </c:pt>
                <c:pt idx="13">
                  <c:v>IV-25</c:v>
                </c:pt>
                <c:pt idx="14">
                  <c:v>I-26</c:v>
                </c:pt>
                <c:pt idx="15">
                  <c:v>II-26</c:v>
                </c:pt>
              </c:strCache>
            </c:strRef>
          </c:cat>
          <c:val>
            <c:numRef>
              <c:f>Series!$AE$12:$AE$27</c:f>
              <c:numCache>
                <c:formatCode>0.0%</c:formatCode>
                <c:ptCount val="16"/>
                <c:pt idx="0">
                  <c:v>0.0782122905027933</c:v>
                </c:pt>
                <c:pt idx="1">
                  <c:v>0.202312138728324</c:v>
                </c:pt>
                <c:pt idx="2">
                  <c:v>0.111731843575419</c:v>
                </c:pt>
                <c:pt idx="3">
                  <c:v>0.038961038961039</c:v>
                </c:pt>
                <c:pt idx="4">
                  <c:v>0.0787878787878788</c:v>
                </c:pt>
                <c:pt idx="5">
                  <c:v>0.0602409638554217</c:v>
                </c:pt>
                <c:pt idx="6">
                  <c:v>0.087431693989071</c:v>
                </c:pt>
                <c:pt idx="7">
                  <c:v>0.0384615384615385</c:v>
                </c:pt>
                <c:pt idx="8">
                  <c:v>0.0559006211180124</c:v>
                </c:pt>
                <c:pt idx="9">
                  <c:v>0.0970149253731343</c:v>
                </c:pt>
                <c:pt idx="10">
                  <c:v>0.0699300699300699</c:v>
                </c:pt>
                <c:pt idx="11">
                  <c:v>0.0509554140127389</c:v>
                </c:pt>
                <c:pt idx="12">
                  <c:v>0.1015625</c:v>
                </c:pt>
                <c:pt idx="13">
                  <c:v>0.0316455696202532</c:v>
                </c:pt>
                <c:pt idx="14">
                  <c:v>0.224852071005917</c:v>
                </c:pt>
                <c:pt idx="15">
                  <c:v>0.243243243243243</c:v>
                </c:pt>
              </c:numCache>
            </c:numRef>
          </c:val>
        </c:ser>
        <c:gapWidth val="60"/>
        <c:overlap val="0"/>
        <c:axId val="51288182"/>
        <c:axId val="48463855"/>
      </c:barChart>
      <c:catAx>
        <c:axId val="512881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63855"/>
        <c:crosses val="autoZero"/>
        <c:auto val="1"/>
        <c:lblAlgn val="ctr"/>
        <c:lblOffset val="100"/>
        <c:noMultiLvlLbl val="0"/>
      </c:catAx>
      <c:valAx>
        <c:axId val="484638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solicitudes resueltas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881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Índice de costo (tasas de interés), I-2020 a II-2026 — 50 = sin cambio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'Rechazo y costo'!H5</c:f>
              <c:strCache>
                <c:ptCount val="1"/>
                <c:pt idx="0">
                  <c:v>ID tasas — total*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5840">
                <a:solidFill>
                  <a:srgbClr val="eb6834"/>
                </a:solidFill>
                <a:prstDash val="dash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'Rechazo y costo'!$A$6:$A$31</c:f>
              <c:strCache>
                <c:ptCount val="26"/>
                <c:pt idx="0">
                  <c:v>I-20</c:v>
                </c:pt>
                <c:pt idx="1">
                  <c:v>II-20</c:v>
                </c:pt>
                <c:pt idx="2">
                  <c:v>III-20</c:v>
                </c:pt>
                <c:pt idx="3">
                  <c:v>IV-20</c:v>
                </c:pt>
                <c:pt idx="4">
                  <c:v>I-21</c:v>
                </c:pt>
                <c:pt idx="5">
                  <c:v>II-21</c:v>
                </c:pt>
                <c:pt idx="6">
                  <c:v>III-21</c:v>
                </c:pt>
                <c:pt idx="7">
                  <c:v>IV-21</c:v>
                </c:pt>
                <c:pt idx="8">
                  <c:v>I-22</c:v>
                </c:pt>
                <c:pt idx="9">
                  <c:v>II-22</c:v>
                </c:pt>
                <c:pt idx="10">
                  <c:v>III-22</c:v>
                </c:pt>
                <c:pt idx="11">
                  <c:v>IV-22</c:v>
                </c:pt>
                <c:pt idx="12">
                  <c:v>I-23</c:v>
                </c:pt>
                <c:pt idx="13">
                  <c:v>II-23</c:v>
                </c:pt>
                <c:pt idx="14">
                  <c:v>III-23</c:v>
                </c:pt>
                <c:pt idx="15">
                  <c:v>IV-23</c:v>
                </c:pt>
                <c:pt idx="16">
                  <c:v>I-24</c:v>
                </c:pt>
                <c:pt idx="17">
                  <c:v>II-24</c:v>
                </c:pt>
                <c:pt idx="18">
                  <c:v>III-24</c:v>
                </c:pt>
                <c:pt idx="19">
                  <c:v>IV-24</c:v>
                </c:pt>
                <c:pt idx="20">
                  <c:v>I-25</c:v>
                </c:pt>
                <c:pt idx="21">
                  <c:v>II-25</c:v>
                </c:pt>
                <c:pt idx="22">
                  <c:v>III-25</c:v>
                </c:pt>
                <c:pt idx="23">
                  <c:v>IV-25</c:v>
                </c:pt>
                <c:pt idx="24">
                  <c:v>I-26</c:v>
                </c:pt>
                <c:pt idx="25">
                  <c:v>II-26</c:v>
                </c:pt>
              </c:strCache>
            </c:strRef>
          </c:cat>
          <c:val>
            <c:numRef>
              <c:f>'Rechazo y costo'!$H$6:$H$31</c:f>
              <c:numCache>
                <c:formatCode>0.0</c:formatCode>
                <c:ptCount val="26"/>
                <c:pt idx="0">
                  <c:v>61.1</c:v>
                </c:pt>
                <c:pt idx="1">
                  <c:v>38.5</c:v>
                </c:pt>
                <c:pt idx="2">
                  <c:v>50.8</c:v>
                </c:pt>
                <c:pt idx="3">
                  <c:v>45.1</c:v>
                </c:pt>
                <c:pt idx="4">
                  <c:v>52.8</c:v>
                </c:pt>
                <c:pt idx="5">
                  <c:v>32.6</c:v>
                </c:pt>
                <c:pt idx="6">
                  <c:v>33.8</c:v>
                </c:pt>
                <c:pt idx="7">
                  <c:v>27.7</c:v>
                </c:pt>
                <c:pt idx="8">
                  <c:v>23.6</c:v>
                </c:pt>
                <c:pt idx="9">
                  <c:v>19.2</c:v>
                </c:pt>
                <c:pt idx="10">
                  <c:v>23.8</c:v>
                </c:pt>
                <c:pt idx="11">
                  <c:v>23.7</c:v>
                </c:pt>
                <c:pt idx="12">
                  <c:v>28.9</c:v>
                </c:pt>
                <c:pt idx="13">
                  <c:v>27.6</c:v>
                </c:pt>
                <c:pt idx="14">
                  <c:v>38.9</c:v>
                </c:pt>
                <c:pt idx="15">
                  <c:v>28.7</c:v>
                </c:pt>
                <c:pt idx="16">
                  <c:v>26.8</c:v>
                </c:pt>
                <c:pt idx="17">
                  <c:v>28</c:v>
                </c:pt>
                <c:pt idx="18">
                  <c:v>41.1</c:v>
                </c:pt>
                <c:pt idx="19">
                  <c:v>33.7</c:v>
                </c:pt>
                <c:pt idx="20">
                  <c:v>39.3</c:v>
                </c:pt>
                <c:pt idx="21">
                  <c:v>46.7</c:v>
                </c:pt>
                <c:pt idx="22">
                  <c:v>49</c:v>
                </c:pt>
                <c:pt idx="23">
                  <c:v>47.6</c:v>
                </c:pt>
                <c:pt idx="24">
                  <c:v>44.9</c:v>
                </c:pt>
                <c:pt idx="25">
                  <c:v>39.4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7510505"/>
        <c:axId val="36538513"/>
      </c:lineChart>
      <c:catAx>
        <c:axId val="675105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38513"/>
        <c:crosses val="autoZero"/>
        <c:auto val="1"/>
        <c:lblAlgn val="ctr"/>
        <c:lblOffset val="100"/>
        <c:noMultiLvlLbl val="0"/>
      </c:catAx>
      <c:valAx>
        <c:axId val="365385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Índice de difusión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105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160560</xdr:rowOff>
    </xdr:from>
    <xdr:to>
      <xdr:col>8</xdr:col>
      <xdr:colOff>417960</xdr:colOff>
      <xdr:row>47</xdr:row>
      <xdr:rowOff>182880</xdr:rowOff>
    </xdr:to>
    <xdr:graphicFrame>
      <xdr:nvGraphicFramePr>
        <xdr:cNvPr id="0" name="Chart 1"/>
        <xdr:cNvGraphicFramePr/>
      </xdr:nvGraphicFramePr>
      <xdr:xfrm>
        <a:off x="0" y="7105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38</xdr:row>
      <xdr:rowOff>160560</xdr:rowOff>
    </xdr:from>
    <xdr:to>
      <xdr:col>10</xdr:col>
      <xdr:colOff>307080</xdr:colOff>
      <xdr:row>53</xdr:row>
      <xdr:rowOff>182520</xdr:rowOff>
    </xdr:to>
    <xdr:graphicFrame>
      <xdr:nvGraphicFramePr>
        <xdr:cNvPr id="1" name="Chart 1"/>
        <xdr:cNvGraphicFramePr/>
      </xdr:nvGraphicFramePr>
      <xdr:xfrm>
        <a:off x="0" y="80485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57</xdr:row>
      <xdr:rowOff>160560</xdr:rowOff>
    </xdr:from>
    <xdr:to>
      <xdr:col>10</xdr:col>
      <xdr:colOff>307080</xdr:colOff>
      <xdr:row>72</xdr:row>
      <xdr:rowOff>182520</xdr:rowOff>
    </xdr:to>
    <xdr:graphicFrame>
      <xdr:nvGraphicFramePr>
        <xdr:cNvPr id="2" name="Chart 2"/>
        <xdr:cNvGraphicFramePr/>
      </xdr:nvGraphicFramePr>
      <xdr:xfrm>
        <a:off x="0" y="116679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160920</xdr:rowOff>
    </xdr:from>
    <xdr:to>
      <xdr:col>7</xdr:col>
      <xdr:colOff>574200</xdr:colOff>
      <xdr:row>32</xdr:row>
      <xdr:rowOff>182880</xdr:rowOff>
    </xdr:to>
    <xdr:graphicFrame>
      <xdr:nvGraphicFramePr>
        <xdr:cNvPr id="3" name="Chart 1"/>
        <xdr:cNvGraphicFramePr/>
      </xdr:nvGraphicFramePr>
      <xdr:xfrm>
        <a:off x="0" y="42292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44</xdr:row>
      <xdr:rowOff>160560</xdr:rowOff>
    </xdr:from>
    <xdr:to>
      <xdr:col>8</xdr:col>
      <xdr:colOff>221760</xdr:colOff>
      <xdr:row>59</xdr:row>
      <xdr:rowOff>182880</xdr:rowOff>
    </xdr:to>
    <xdr:graphicFrame>
      <xdr:nvGraphicFramePr>
        <xdr:cNvPr id="4" name="Chart 1"/>
        <xdr:cNvGraphicFramePr/>
      </xdr:nvGraphicFramePr>
      <xdr:xfrm>
        <a:off x="0" y="999180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63</xdr:row>
      <xdr:rowOff>160560</xdr:rowOff>
    </xdr:from>
    <xdr:to>
      <xdr:col>8</xdr:col>
      <xdr:colOff>221760</xdr:colOff>
      <xdr:row>78</xdr:row>
      <xdr:rowOff>182880</xdr:rowOff>
    </xdr:to>
    <xdr:graphicFrame>
      <xdr:nvGraphicFramePr>
        <xdr:cNvPr id="5" name="Chart 2"/>
        <xdr:cNvGraphicFramePr/>
      </xdr:nvGraphicFramePr>
      <xdr:xfrm>
        <a:off x="0" y="136112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82</xdr:row>
      <xdr:rowOff>160560</xdr:rowOff>
    </xdr:from>
    <xdr:to>
      <xdr:col>8</xdr:col>
      <xdr:colOff>221760</xdr:colOff>
      <xdr:row>97</xdr:row>
      <xdr:rowOff>182880</xdr:rowOff>
    </xdr:to>
    <xdr:graphicFrame>
      <xdr:nvGraphicFramePr>
        <xdr:cNvPr id="6" name="Chart 3"/>
        <xdr:cNvGraphicFramePr/>
      </xdr:nvGraphicFramePr>
      <xdr:xfrm>
        <a:off x="0" y="172306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44</xdr:row>
      <xdr:rowOff>160560</xdr:rowOff>
    </xdr:from>
    <xdr:to>
      <xdr:col>8</xdr:col>
      <xdr:colOff>221760</xdr:colOff>
      <xdr:row>59</xdr:row>
      <xdr:rowOff>182880</xdr:rowOff>
    </xdr:to>
    <xdr:graphicFrame>
      <xdr:nvGraphicFramePr>
        <xdr:cNvPr id="7" name="Chart 1"/>
        <xdr:cNvGraphicFramePr/>
      </xdr:nvGraphicFramePr>
      <xdr:xfrm>
        <a:off x="0" y="98107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63</xdr:row>
      <xdr:rowOff>160560</xdr:rowOff>
    </xdr:from>
    <xdr:to>
      <xdr:col>8</xdr:col>
      <xdr:colOff>221760</xdr:colOff>
      <xdr:row>78</xdr:row>
      <xdr:rowOff>182880</xdr:rowOff>
    </xdr:to>
    <xdr:graphicFrame>
      <xdr:nvGraphicFramePr>
        <xdr:cNvPr id="8" name="Chart 2"/>
        <xdr:cNvGraphicFramePr/>
      </xdr:nvGraphicFramePr>
      <xdr:xfrm>
        <a:off x="0" y="1343016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26.8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26.8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1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4" t="s">
        <v>19</v>
      </c>
      <c r="B13" s="5" t="s">
        <v>20</v>
      </c>
    </row>
    <row r="14" customFormat="false" ht="15" hidden="false" customHeight="false" outlineLevel="0" collapsed="false">
      <c r="A14" s="4" t="s">
        <v>21</v>
      </c>
      <c r="B14" s="5" t="s">
        <v>22</v>
      </c>
    </row>
    <row r="15" customFormat="false" ht="15" hidden="false" customHeight="false" outlineLevel="0" collapsed="false">
      <c r="A15" s="4" t="s">
        <v>23</v>
      </c>
      <c r="B15" s="5" t="s">
        <v>24</v>
      </c>
    </row>
    <row r="16" customFormat="false" ht="15" hidden="false" customHeight="false" outlineLevel="0" collapsed="false">
      <c r="A16" s="4" t="s">
        <v>25</v>
      </c>
      <c r="B16" s="5" t="s">
        <v>26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27</v>
      </c>
    </row>
    <row r="19" customFormat="false" ht="15" hidden="false" customHeight="false" outlineLevel="0" collapsed="false">
      <c r="A19" s="6" t="s">
        <v>28</v>
      </c>
      <c r="B19" s="5" t="s">
        <v>29</v>
      </c>
    </row>
    <row r="20" customFormat="false" ht="15" hidden="false" customHeight="false" outlineLevel="0" collapsed="false">
      <c r="A20" s="4" t="s">
        <v>30</v>
      </c>
      <c r="B20" s="5" t="s">
        <v>31</v>
      </c>
    </row>
    <row r="21" customFormat="false" ht="15" hidden="false" customHeight="false" outlineLevel="0" collapsed="false">
      <c r="A21" s="7" t="s">
        <v>32</v>
      </c>
      <c r="B21" s="5" t="s">
        <v>33</v>
      </c>
    </row>
    <row r="22" customFormat="false" ht="15" hidden="false" customHeight="false" outlineLevel="0" collapsed="false">
      <c r="A22" s="8" t="s">
        <v>34</v>
      </c>
      <c r="B22" s="5" t="s">
        <v>35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3" t="s">
        <v>36</v>
      </c>
    </row>
    <row r="25" customFormat="false" ht="26.85" hidden="false" customHeight="false" outlineLevel="0" collapsed="false">
      <c r="A25" s="4" t="s">
        <v>37</v>
      </c>
      <c r="B25" s="5" t="s">
        <v>38</v>
      </c>
    </row>
    <row r="26" customFormat="false" ht="26.85" hidden="false" customHeight="false" outlineLevel="0" collapsed="false">
      <c r="A26" s="4" t="s">
        <v>39</v>
      </c>
      <c r="B26" s="5" t="s">
        <v>40</v>
      </c>
    </row>
    <row r="27" customFormat="false" ht="15" hidden="false" customHeight="false" outlineLevel="0" collapsed="false">
      <c r="A27" s="4" t="s">
        <v>41</v>
      </c>
      <c r="B27" s="5" t="s">
        <v>42</v>
      </c>
    </row>
    <row r="28" customFormat="false" ht="26.85" hidden="false" customHeight="false" outlineLevel="0" collapsed="false">
      <c r="A28" s="4" t="s">
        <v>43</v>
      </c>
      <c r="B28" s="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7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8" min="12" style="0" width="12"/>
    <col collapsed="false" customWidth="true" hidden="false" outlineLevel="0" max="20" min="19" style="0" width="10"/>
    <col collapsed="false" customWidth="true" hidden="false" outlineLevel="0" max="22" min="21" style="0" width="11"/>
    <col collapsed="false" customWidth="true" hidden="false" outlineLevel="0" max="24" min="23" style="0" width="12"/>
    <col collapsed="false" customWidth="true" hidden="false" outlineLevel="0" max="27" min="25" style="0" width="11"/>
    <col collapsed="false" customWidth="true" hidden="false" outlineLevel="0" max="29" min="28" style="0" width="12"/>
    <col collapsed="false" customWidth="true" hidden="false" outlineLevel="0" max="30" min="30" style="0" width="10"/>
    <col collapsed="false" customWidth="true" hidden="false" outlineLevel="0" max="31" min="31" style="0" width="13"/>
    <col collapsed="false" customWidth="true" hidden="false" outlineLevel="0" max="33" min="32" style="0" width="12"/>
    <col collapsed="false" customWidth="true" hidden="false" outlineLevel="0" max="37" min="34" style="0" width="11"/>
    <col collapsed="false" customWidth="true" hidden="false" outlineLevel="0" max="40" min="38" style="0" width="12"/>
    <col collapsed="false" customWidth="true" hidden="false" outlineLevel="0" max="42" min="41" style="0" width="13"/>
    <col collapsed="false" customWidth="true" hidden="false" outlineLevel="0" max="43" min="43" style="0" width="11"/>
    <col collapsed="false" customWidth="true" hidden="false" outlineLevel="0" max="44" min="44" style="0" width="60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79.5" hidden="false" customHeight="true" outlineLevel="0" collapsed="false">
      <c r="A4" s="9" t="s">
        <v>47</v>
      </c>
      <c r="B4" s="9" t="s">
        <v>48</v>
      </c>
      <c r="C4" s="9" t="s">
        <v>49</v>
      </c>
      <c r="D4" s="9" t="s">
        <v>50</v>
      </c>
      <c r="E4" s="9" t="s">
        <v>51</v>
      </c>
      <c r="F4" s="9" t="s">
        <v>52</v>
      </c>
      <c r="G4" s="9" t="s">
        <v>53</v>
      </c>
      <c r="H4" s="9" t="s">
        <v>54</v>
      </c>
      <c r="I4" s="9" t="s">
        <v>55</v>
      </c>
      <c r="J4" s="9" t="s">
        <v>56</v>
      </c>
      <c r="K4" s="9" t="s">
        <v>57</v>
      </c>
      <c r="L4" s="9" t="s">
        <v>58</v>
      </c>
      <c r="M4" s="9" t="s">
        <v>59</v>
      </c>
      <c r="N4" s="9" t="s">
        <v>60</v>
      </c>
      <c r="O4" s="9" t="s">
        <v>61</v>
      </c>
      <c r="P4" s="9" t="s">
        <v>62</v>
      </c>
      <c r="Q4" s="9" t="s">
        <v>63</v>
      </c>
      <c r="R4" s="9" t="s">
        <v>64</v>
      </c>
      <c r="S4" s="9" t="s">
        <v>65</v>
      </c>
      <c r="T4" s="9" t="s">
        <v>66</v>
      </c>
      <c r="U4" s="9" t="s">
        <v>67</v>
      </c>
      <c r="V4" s="9" t="s">
        <v>68</v>
      </c>
      <c r="W4" s="9" t="s">
        <v>69</v>
      </c>
      <c r="X4" s="9" t="s">
        <v>70</v>
      </c>
      <c r="Y4" s="9" t="s">
        <v>71</v>
      </c>
      <c r="Z4" s="9" t="s">
        <v>72</v>
      </c>
      <c r="AA4" s="9" t="s">
        <v>73</v>
      </c>
      <c r="AB4" s="9" t="s">
        <v>74</v>
      </c>
      <c r="AC4" s="9" t="s">
        <v>75</v>
      </c>
      <c r="AD4" s="9" t="s">
        <v>76</v>
      </c>
      <c r="AE4" s="9" t="s">
        <v>77</v>
      </c>
      <c r="AF4" s="9" t="s">
        <v>78</v>
      </c>
      <c r="AG4" s="9" t="s">
        <v>79</v>
      </c>
      <c r="AH4" s="9" t="s">
        <v>80</v>
      </c>
      <c r="AI4" s="9" t="s">
        <v>81</v>
      </c>
      <c r="AJ4" s="9" t="s">
        <v>82</v>
      </c>
      <c r="AK4" s="9" t="s">
        <v>83</v>
      </c>
      <c r="AL4" s="9" t="s">
        <v>84</v>
      </c>
      <c r="AM4" s="9" t="s">
        <v>85</v>
      </c>
      <c r="AN4" s="9" t="s">
        <v>86</v>
      </c>
      <c r="AO4" s="9" t="s">
        <v>87</v>
      </c>
      <c r="AP4" s="9" t="s">
        <v>88</v>
      </c>
      <c r="AQ4" s="9" t="s">
        <v>89</v>
      </c>
      <c r="AR4" s="9" t="s">
        <v>90</v>
      </c>
    </row>
    <row r="5" customFormat="false" ht="15" hidden="false" customHeight="false" outlineLevel="0" collapsed="false">
      <c r="A5" s="4" t="s">
        <v>91</v>
      </c>
      <c r="B5" s="10" t="s">
        <v>92</v>
      </c>
      <c r="C5" s="11" t="n">
        <v>4</v>
      </c>
      <c r="D5" s="10" t="s">
        <v>93</v>
      </c>
      <c r="E5" s="11" t="n">
        <v>1</v>
      </c>
      <c r="F5" s="12" t="n">
        <v>4.25</v>
      </c>
      <c r="G5" s="13"/>
      <c r="H5" s="14" t="n">
        <v>13.6</v>
      </c>
      <c r="J5" s="14" t="n">
        <v>84.2</v>
      </c>
      <c r="K5" s="14" t="n">
        <v>39.7</v>
      </c>
      <c r="L5" s="14" t="n">
        <v>38.7</v>
      </c>
      <c r="M5" s="14" t="n">
        <v>46.9</v>
      </c>
      <c r="N5" s="15" t="n">
        <f aca="false">IF(OR(L5="",M5=""),"",ROUND(M5-L5,1))</f>
        <v>8.2</v>
      </c>
      <c r="O5" s="14"/>
      <c r="P5" s="14"/>
      <c r="Q5" s="15" t="str">
        <f aca="false">IF(OR(O5="",P5=""),"",ROUND(P5-O5,1))</f>
        <v/>
      </c>
      <c r="R5" s="14" t="n">
        <v>47.3</v>
      </c>
      <c r="S5" s="14" t="n">
        <v>34</v>
      </c>
      <c r="T5" s="14" t="n">
        <v>18.7</v>
      </c>
      <c r="U5" s="14"/>
      <c r="V5" s="14"/>
      <c r="Y5" s="14"/>
      <c r="Z5" s="14"/>
      <c r="AA5" s="14"/>
      <c r="AB5" s="16"/>
      <c r="AC5" s="16"/>
      <c r="AD5" s="14"/>
      <c r="AE5" s="17" t="str">
        <f aca="false">IF(OR(AA5="",H5=""),"",AA5/(AA5+H5))</f>
        <v/>
      </c>
      <c r="AF5" s="17" t="str">
        <f aca="false">IF(OR(AB5="",O5=""),"",AB5/(AB5+O5))</f>
        <v/>
      </c>
      <c r="AG5" s="17" t="str">
        <f aca="false">IF(OR(AC5="",P5=""),"",AC5/(AC5+P5))</f>
        <v/>
      </c>
      <c r="AH5" s="14"/>
      <c r="AK5" s="14"/>
      <c r="AL5" s="14"/>
      <c r="AM5" s="14"/>
      <c r="AN5" s="14"/>
      <c r="AO5" s="14"/>
      <c r="AP5" s="14"/>
    </row>
    <row r="6" customFormat="false" ht="15" hidden="false" customHeight="false" outlineLevel="0" collapsed="false">
      <c r="A6" s="4" t="s">
        <v>94</v>
      </c>
      <c r="B6" s="10" t="s">
        <v>95</v>
      </c>
      <c r="C6" s="11" t="n">
        <v>1</v>
      </c>
      <c r="D6" s="10" t="s">
        <v>93</v>
      </c>
      <c r="E6" s="11" t="n">
        <v>2</v>
      </c>
      <c r="F6" s="12" t="n">
        <v>4</v>
      </c>
      <c r="G6" s="13"/>
      <c r="H6" s="14" t="n">
        <v>15.5</v>
      </c>
      <c r="J6" s="14" t="n">
        <v>78.7</v>
      </c>
      <c r="K6" s="14" t="n">
        <v>39.1</v>
      </c>
      <c r="L6" s="14" t="n">
        <v>37.5</v>
      </c>
      <c r="M6" s="14" t="n">
        <v>51.9</v>
      </c>
      <c r="N6" s="15" t="n">
        <f aca="false">IF(OR(L6="",M6=""),"",ROUND(M6-L6,1))</f>
        <v>14.4</v>
      </c>
      <c r="O6" s="14"/>
      <c r="P6" s="14"/>
      <c r="Q6" s="15" t="str">
        <f aca="false">IF(OR(O6="",P6=""),"",ROUND(P6-O6,1))</f>
        <v/>
      </c>
      <c r="R6" s="14" t="n">
        <v>51.6</v>
      </c>
      <c r="S6" s="14" t="n">
        <v>27.8</v>
      </c>
      <c r="T6" s="14" t="n">
        <v>20.6</v>
      </c>
      <c r="U6" s="14"/>
      <c r="V6" s="14"/>
      <c r="Y6" s="14"/>
      <c r="Z6" s="14"/>
      <c r="AA6" s="14"/>
      <c r="AB6" s="16"/>
      <c r="AC6" s="16"/>
      <c r="AD6" s="14"/>
      <c r="AE6" s="17" t="str">
        <f aca="false">IF(OR(AA6="",H6=""),"",AA6/(AA6+H6))</f>
        <v/>
      </c>
      <c r="AF6" s="17" t="str">
        <f aca="false">IF(OR(AB6="",O6=""),"",AB6/(AB6+O6))</f>
        <v/>
      </c>
      <c r="AG6" s="17" t="str">
        <f aca="false">IF(OR(AC6="",P6=""),"",AC6/(AC6+P6))</f>
        <v/>
      </c>
      <c r="AH6" s="14"/>
      <c r="AK6" s="14"/>
      <c r="AL6" s="14"/>
      <c r="AM6" s="14"/>
      <c r="AN6" s="14"/>
      <c r="AO6" s="14"/>
      <c r="AP6" s="14"/>
    </row>
    <row r="7" customFormat="false" ht="15" hidden="false" customHeight="false" outlineLevel="0" collapsed="false">
      <c r="A7" s="4" t="s">
        <v>96</v>
      </c>
      <c r="B7" s="10" t="s">
        <v>95</v>
      </c>
      <c r="C7" s="11" t="n">
        <v>2</v>
      </c>
      <c r="D7" s="10" t="s">
        <v>97</v>
      </c>
      <c r="E7" s="11" t="n">
        <v>3</v>
      </c>
      <c r="F7" s="12" t="n">
        <v>4.25</v>
      </c>
      <c r="G7" s="13"/>
      <c r="H7" s="14" t="n">
        <v>11</v>
      </c>
      <c r="J7" s="14" t="n">
        <v>81.6</v>
      </c>
      <c r="K7" s="14" t="n">
        <v>36.6</v>
      </c>
      <c r="L7" s="14" t="n">
        <v>35</v>
      </c>
      <c r="M7" s="14" t="n">
        <v>48.6</v>
      </c>
      <c r="N7" s="15" t="n">
        <f aca="false">IF(OR(L7="",M7=""),"",ROUND(M7-L7,1))</f>
        <v>13.6</v>
      </c>
      <c r="O7" s="14"/>
      <c r="P7" s="14"/>
      <c r="Q7" s="15" t="str">
        <f aca="false">IF(OR(O7="",P7=""),"",ROUND(P7-O7,1))</f>
        <v/>
      </c>
      <c r="R7" s="14" t="n">
        <v>59.5</v>
      </c>
      <c r="S7" s="14" t="n">
        <v>26.6</v>
      </c>
      <c r="T7" s="14" t="n">
        <v>13.9</v>
      </c>
      <c r="U7" s="14"/>
      <c r="V7" s="14"/>
      <c r="Y7" s="14"/>
      <c r="Z7" s="14"/>
      <c r="AA7" s="14"/>
      <c r="AB7" s="16"/>
      <c r="AC7" s="16"/>
      <c r="AD7" s="14"/>
      <c r="AE7" s="17" t="str">
        <f aca="false">IF(OR(AA7="",H7=""),"",AA7/(AA7+H7))</f>
        <v/>
      </c>
      <c r="AF7" s="17" t="str">
        <f aca="false">IF(OR(AB7="",O7=""),"",AB7/(AB7+O7))</f>
        <v/>
      </c>
      <c r="AG7" s="17" t="str">
        <f aca="false">IF(OR(AC7="",P7=""),"",AC7/(AC7+P7))</f>
        <v/>
      </c>
      <c r="AH7" s="14"/>
      <c r="AK7" s="14"/>
      <c r="AL7" s="14"/>
      <c r="AM7" s="14"/>
      <c r="AN7" s="14"/>
      <c r="AO7" s="14"/>
      <c r="AP7" s="14"/>
    </row>
    <row r="8" customFormat="false" ht="15" hidden="false" customHeight="false" outlineLevel="0" collapsed="false">
      <c r="A8" s="4" t="s">
        <v>98</v>
      </c>
      <c r="B8" s="10" t="s">
        <v>95</v>
      </c>
      <c r="C8" s="11" t="n">
        <v>3</v>
      </c>
      <c r="D8" s="10" t="s">
        <v>97</v>
      </c>
      <c r="E8" s="11" t="n">
        <v>4</v>
      </c>
      <c r="F8" s="12" t="n">
        <v>4.75</v>
      </c>
      <c r="G8" s="13"/>
      <c r="H8" s="14" t="n">
        <v>11.5</v>
      </c>
      <c r="I8" s="15" t="n">
        <f aca="false">IF(H8="","",AVERAGE(H5:H8))</f>
        <v>12.9</v>
      </c>
      <c r="J8" s="14" t="n">
        <v>81.7</v>
      </c>
      <c r="K8" s="14" t="n">
        <v>37.5</v>
      </c>
      <c r="L8" s="14" t="n">
        <v>35.6</v>
      </c>
      <c r="M8" s="14" t="n">
        <v>52.1</v>
      </c>
      <c r="N8" s="15" t="n">
        <f aca="false">IF(OR(L8="",M8=""),"",ROUND(M8-L8,1))</f>
        <v>16.5</v>
      </c>
      <c r="O8" s="14"/>
      <c r="P8" s="14"/>
      <c r="Q8" s="15" t="str">
        <f aca="false">IF(OR(O8="",P8=""),"",ROUND(P8-O8,1))</f>
        <v/>
      </c>
      <c r="R8" s="14" t="n">
        <v>51</v>
      </c>
      <c r="S8" s="14" t="n">
        <v>26.7</v>
      </c>
      <c r="T8" s="14" t="n">
        <v>22.3</v>
      </c>
      <c r="U8" s="14"/>
      <c r="V8" s="14"/>
      <c r="Y8" s="14"/>
      <c r="Z8" s="14"/>
      <c r="AA8" s="14"/>
      <c r="AB8" s="16"/>
      <c r="AC8" s="16"/>
      <c r="AD8" s="14"/>
      <c r="AE8" s="17" t="str">
        <f aca="false">IF(OR(AA8="",H8=""),"",AA8/(AA8+H8))</f>
        <v/>
      </c>
      <c r="AF8" s="17" t="str">
        <f aca="false">IF(OR(AB8="",O8=""),"",AB8/(AB8+O8))</f>
        <v/>
      </c>
      <c r="AG8" s="17" t="str">
        <f aca="false">IF(OR(AC8="",P8=""),"",AC8/(AC8+P8))</f>
        <v/>
      </c>
      <c r="AH8" s="14"/>
      <c r="AK8" s="14"/>
      <c r="AL8" s="14"/>
      <c r="AM8" s="14"/>
      <c r="AN8" s="14"/>
      <c r="AO8" s="14"/>
      <c r="AP8" s="14"/>
    </row>
    <row r="9" customFormat="false" ht="15" hidden="false" customHeight="false" outlineLevel="0" collapsed="false">
      <c r="A9" s="4" t="s">
        <v>99</v>
      </c>
      <c r="B9" s="10" t="s">
        <v>95</v>
      </c>
      <c r="C9" s="11" t="n">
        <v>4</v>
      </c>
      <c r="D9" s="10" t="s">
        <v>97</v>
      </c>
      <c r="E9" s="11" t="n">
        <v>5</v>
      </c>
      <c r="F9" s="12" t="n">
        <v>5.5</v>
      </c>
      <c r="G9" s="13"/>
      <c r="H9" s="14" t="n">
        <v>9</v>
      </c>
      <c r="I9" s="15" t="n">
        <f aca="false">IF(H9="","",AVERAGE(H6:H9))</f>
        <v>11.75</v>
      </c>
      <c r="J9" s="14" t="n">
        <v>86.3</v>
      </c>
      <c r="K9" s="14" t="n">
        <v>37.5</v>
      </c>
      <c r="L9" s="14" t="n">
        <v>35.3</v>
      </c>
      <c r="M9" s="14" t="n">
        <v>54.4</v>
      </c>
      <c r="N9" s="15" t="n">
        <f aca="false">IF(OR(L9="",M9=""),"",ROUND(M9-L9,1))</f>
        <v>19.1</v>
      </c>
      <c r="O9" s="14"/>
      <c r="P9" s="14"/>
      <c r="Q9" s="15" t="str">
        <f aca="false">IF(OR(O9="",P9=""),"",ROUND(P9-O9,1))</f>
        <v/>
      </c>
      <c r="R9" s="14" t="n">
        <v>49.8</v>
      </c>
      <c r="S9" s="14" t="n">
        <v>31.9</v>
      </c>
      <c r="T9" s="14" t="n">
        <v>18.2</v>
      </c>
      <c r="U9" s="14"/>
      <c r="V9" s="14"/>
      <c r="Y9" s="14"/>
      <c r="Z9" s="14"/>
      <c r="AA9" s="14"/>
      <c r="AB9" s="16"/>
      <c r="AC9" s="16"/>
      <c r="AD9" s="14"/>
      <c r="AE9" s="17" t="str">
        <f aca="false">IF(OR(AA9="",H9=""),"",AA9/(AA9+H9))</f>
        <v/>
      </c>
      <c r="AF9" s="17" t="str">
        <f aca="false">IF(OR(AB9="",O9=""),"",AB9/(AB9+O9))</f>
        <v/>
      </c>
      <c r="AG9" s="17" t="str">
        <f aca="false">IF(OR(AC9="",P9=""),"",AC9/(AC9+P9))</f>
        <v/>
      </c>
      <c r="AH9" s="14"/>
      <c r="AK9" s="14"/>
      <c r="AL9" s="14"/>
      <c r="AM9" s="14"/>
      <c r="AN9" s="14"/>
      <c r="AO9" s="14"/>
      <c r="AP9" s="14"/>
    </row>
    <row r="10" customFormat="false" ht="15" hidden="false" customHeight="false" outlineLevel="0" collapsed="false">
      <c r="A10" s="4" t="s">
        <v>100</v>
      </c>
      <c r="B10" s="10" t="s">
        <v>101</v>
      </c>
      <c r="C10" s="11" t="n">
        <v>1</v>
      </c>
      <c r="D10" s="10" t="s">
        <v>97</v>
      </c>
      <c r="E10" s="11" t="n">
        <v>6</v>
      </c>
      <c r="F10" s="12" t="n">
        <v>6.5</v>
      </c>
      <c r="G10" s="13"/>
      <c r="H10" s="14" t="n">
        <v>15.2</v>
      </c>
      <c r="I10" s="15" t="n">
        <f aca="false">IF(H10="","",AVERAGE(H7:H10))</f>
        <v>11.675</v>
      </c>
      <c r="J10" s="14" t="n">
        <v>79.1</v>
      </c>
      <c r="K10" s="14" t="n">
        <v>41.9</v>
      </c>
      <c r="L10" s="14" t="n">
        <v>41.1</v>
      </c>
      <c r="M10" s="14" t="n">
        <v>47.8</v>
      </c>
      <c r="N10" s="15" t="n">
        <f aca="false">IF(OR(L10="",M10=""),"",ROUND(M10-L10,1))</f>
        <v>6.7</v>
      </c>
      <c r="O10" s="14"/>
      <c r="P10" s="14"/>
      <c r="Q10" s="15" t="str">
        <f aca="false">IF(OR(O10="",P10=""),"",ROUND(P10-O10,1))</f>
        <v/>
      </c>
      <c r="R10" s="14" t="n">
        <v>51.2</v>
      </c>
      <c r="S10" s="14" t="n">
        <v>30.9</v>
      </c>
      <c r="T10" s="14" t="n">
        <v>17.9</v>
      </c>
      <c r="U10" s="14"/>
      <c r="V10" s="14"/>
      <c r="Y10" s="14"/>
      <c r="Z10" s="14"/>
      <c r="AA10" s="14"/>
      <c r="AB10" s="16"/>
      <c r="AC10" s="16"/>
      <c r="AD10" s="14"/>
      <c r="AE10" s="17" t="str">
        <f aca="false">IF(OR(AA10="",H10=""),"",AA10/(AA10+H10))</f>
        <v/>
      </c>
      <c r="AF10" s="17" t="str">
        <f aca="false">IF(OR(AB10="",O10=""),"",AB10/(AB10+O10))</f>
        <v/>
      </c>
      <c r="AG10" s="17" t="str">
        <f aca="false">IF(OR(AC10="",P10=""),"",AC10/(AC10+P10))</f>
        <v/>
      </c>
      <c r="AH10" s="14"/>
      <c r="AK10" s="14"/>
      <c r="AL10" s="14"/>
      <c r="AM10" s="14"/>
      <c r="AN10" s="14"/>
      <c r="AO10" s="14"/>
      <c r="AP10" s="14"/>
    </row>
    <row r="11" customFormat="false" ht="15" hidden="false" customHeight="false" outlineLevel="0" collapsed="false">
      <c r="A11" s="4" t="s">
        <v>102</v>
      </c>
      <c r="B11" s="10" t="s">
        <v>101</v>
      </c>
      <c r="C11" s="11" t="n">
        <v>2</v>
      </c>
      <c r="D11" s="10" t="s">
        <v>97</v>
      </c>
      <c r="E11" s="11" t="n">
        <v>7</v>
      </c>
      <c r="F11" s="12" t="n">
        <v>7.75</v>
      </c>
      <c r="G11" s="13"/>
      <c r="H11" s="14" t="n">
        <v>15.9</v>
      </c>
      <c r="I11" s="15" t="n">
        <f aca="false">IF(H11="","",AVERAGE(H8:H11))</f>
        <v>12.9</v>
      </c>
      <c r="J11" s="14" t="n">
        <v>79.7</v>
      </c>
      <c r="K11" s="14" t="n">
        <v>40.2</v>
      </c>
      <c r="L11" s="14" t="n">
        <v>38.7</v>
      </c>
      <c r="M11" s="14" t="n">
        <v>51.8</v>
      </c>
      <c r="N11" s="15" t="n">
        <f aca="false">IF(OR(L11="",M11=""),"",ROUND(M11-L11,1))</f>
        <v>13.1</v>
      </c>
      <c r="O11" s="14"/>
      <c r="P11" s="14"/>
      <c r="Q11" s="15" t="str">
        <f aca="false">IF(OR(O11="",P11=""),"",ROUND(P11-O11,1))</f>
        <v/>
      </c>
      <c r="R11" s="14" t="n">
        <v>49.6</v>
      </c>
      <c r="S11" s="14" t="n">
        <v>29.1</v>
      </c>
      <c r="T11" s="14" t="n">
        <v>21.3</v>
      </c>
      <c r="U11" s="14"/>
      <c r="V11" s="14"/>
      <c r="Y11" s="14"/>
      <c r="Z11" s="14"/>
      <c r="AA11" s="14"/>
      <c r="AB11" s="16"/>
      <c r="AC11" s="16"/>
      <c r="AD11" s="14"/>
      <c r="AE11" s="17" t="str">
        <f aca="false">IF(OR(AA11="",H11=""),"",AA11/(AA11+H11))</f>
        <v/>
      </c>
      <c r="AF11" s="17" t="str">
        <f aca="false">IF(OR(AB11="",O11=""),"",AB11/(AB11+O11))</f>
        <v/>
      </c>
      <c r="AG11" s="17" t="str">
        <f aca="false">IF(OR(AC11="",P11=""),"",AC11/(AC11+P11))</f>
        <v/>
      </c>
      <c r="AH11" s="14"/>
      <c r="AK11" s="14"/>
      <c r="AL11" s="14"/>
      <c r="AM11" s="14"/>
      <c r="AN11" s="14"/>
      <c r="AO11" s="14"/>
      <c r="AP11" s="14"/>
    </row>
    <row r="12" customFormat="false" ht="15" hidden="false" customHeight="false" outlineLevel="0" collapsed="false">
      <c r="A12" s="4" t="s">
        <v>103</v>
      </c>
      <c r="B12" s="10" t="s">
        <v>101</v>
      </c>
      <c r="C12" s="11" t="n">
        <v>3</v>
      </c>
      <c r="D12" s="10" t="s">
        <v>97</v>
      </c>
      <c r="E12" s="11" t="n">
        <v>8</v>
      </c>
      <c r="F12" s="12" t="n">
        <v>9.25</v>
      </c>
      <c r="G12" s="13"/>
      <c r="H12" s="14" t="n">
        <v>16.5</v>
      </c>
      <c r="I12" s="15" t="n">
        <f aca="false">IF(H12="","",AVERAGE(H9:H12))</f>
        <v>14.15</v>
      </c>
      <c r="J12" s="14" t="n">
        <v>77.7</v>
      </c>
      <c r="K12" s="14" t="n">
        <v>37.9</v>
      </c>
      <c r="L12" s="14" t="n">
        <v>37</v>
      </c>
      <c r="M12" s="14" t="n">
        <v>45.1</v>
      </c>
      <c r="N12" s="15" t="n">
        <f aca="false">IF(OR(L12="",M12=""),"",ROUND(M12-L12,1))</f>
        <v>8.1</v>
      </c>
      <c r="O12" s="14"/>
      <c r="P12" s="14"/>
      <c r="Q12" s="15" t="str">
        <f aca="false">IF(OR(O12="",P12=""),"",ROUND(P12-O12,1))</f>
        <v/>
      </c>
      <c r="R12" s="14" t="n">
        <v>55.2</v>
      </c>
      <c r="S12" s="14" t="n">
        <v>22.5</v>
      </c>
      <c r="T12" s="14" t="n">
        <v>22.3</v>
      </c>
      <c r="U12" s="14" t="n">
        <v>58.4</v>
      </c>
      <c r="V12" s="14" t="n">
        <v>28.9</v>
      </c>
      <c r="Y12" s="14" t="n">
        <v>8.3</v>
      </c>
      <c r="Z12" s="14" t="n">
        <v>3.3</v>
      </c>
      <c r="AA12" s="14" t="n">
        <v>1.4</v>
      </c>
      <c r="AB12" s="16"/>
      <c r="AC12" s="16"/>
      <c r="AD12" s="14" t="n">
        <v>1.1</v>
      </c>
      <c r="AE12" s="17" t="n">
        <f aca="false">IF(OR(AA12="",H12=""),"",AA12/(AA12+H12))</f>
        <v>0.0782122905027933</v>
      </c>
      <c r="AF12" s="17" t="str">
        <f aca="false">IF(OR(AB12="",O12=""),"",AB12/(AB12+O12))</f>
        <v/>
      </c>
      <c r="AG12" s="17" t="str">
        <f aca="false">IF(OR(AC12="",P12=""),"",AC12/(AC12+P12))</f>
        <v/>
      </c>
      <c r="AH12" s="14" t="n">
        <v>23.8</v>
      </c>
      <c r="AK12" s="14" t="n">
        <v>36.4</v>
      </c>
      <c r="AL12" s="14" t="n">
        <v>22</v>
      </c>
      <c r="AM12" s="14" t="n">
        <v>37</v>
      </c>
      <c r="AN12" s="14" t="n">
        <v>2.6</v>
      </c>
      <c r="AO12" s="14" t="n">
        <v>47</v>
      </c>
      <c r="AP12" s="14" t="n">
        <v>47.6</v>
      </c>
    </row>
    <row r="13" customFormat="false" ht="15" hidden="false" customHeight="false" outlineLevel="0" collapsed="false">
      <c r="A13" s="4" t="s">
        <v>104</v>
      </c>
      <c r="B13" s="10" t="s">
        <v>101</v>
      </c>
      <c r="C13" s="11" t="n">
        <v>4</v>
      </c>
      <c r="D13" s="10" t="s">
        <v>97</v>
      </c>
      <c r="E13" s="11" t="n">
        <v>9</v>
      </c>
      <c r="F13" s="12" t="n">
        <v>10.5</v>
      </c>
      <c r="G13" s="13"/>
      <c r="H13" s="14" t="n">
        <v>13.8</v>
      </c>
      <c r="I13" s="15" t="n">
        <f aca="false">IF(H13="","",AVERAGE(H10:H13))</f>
        <v>15.35</v>
      </c>
      <c r="J13" s="14" t="n">
        <v>79.3</v>
      </c>
      <c r="K13" s="14" t="n">
        <v>37.1</v>
      </c>
      <c r="L13" s="14" t="n">
        <v>36.9</v>
      </c>
      <c r="M13" s="14" t="n">
        <v>38.9</v>
      </c>
      <c r="N13" s="15" t="n">
        <f aca="false">IF(OR(L13="",M13=""),"",ROUND(M13-L13,1))</f>
        <v>2</v>
      </c>
      <c r="O13" s="14" t="n">
        <v>13</v>
      </c>
      <c r="P13" s="14" t="n">
        <v>20.5</v>
      </c>
      <c r="Q13" s="15" t="n">
        <f aca="false">IF(OR(O13="",P13=""),"",ROUND(P13-O13,1))</f>
        <v>7.5</v>
      </c>
      <c r="R13" s="14" t="n">
        <v>61.3</v>
      </c>
      <c r="S13" s="14" t="n">
        <v>23.4</v>
      </c>
      <c r="T13" s="14" t="n">
        <v>15.3</v>
      </c>
      <c r="U13" s="14" t="n">
        <v>60.8</v>
      </c>
      <c r="V13" s="14" t="n">
        <v>28.2</v>
      </c>
      <c r="Y13" s="14" t="n">
        <v>9.7</v>
      </c>
      <c r="Z13" s="14" t="n">
        <v>3.1</v>
      </c>
      <c r="AA13" s="14" t="n">
        <v>3.5</v>
      </c>
      <c r="AB13" s="16"/>
      <c r="AC13" s="16"/>
      <c r="AD13" s="14" t="n">
        <v>0.3</v>
      </c>
      <c r="AE13" s="17" t="n">
        <f aca="false">IF(OR(AA13="",H13=""),"",AA13/(AA13+H13))</f>
        <v>0.202312138728324</v>
      </c>
      <c r="AF13" s="17" t="str">
        <f aca="false">IF(OR(AB13="",O13=""),"",AB13/(AB13+O13))</f>
        <v/>
      </c>
      <c r="AG13" s="17" t="str">
        <f aca="false">IF(OR(AC13="",P13=""),"",AC13/(AC13+P13))</f>
        <v/>
      </c>
      <c r="AH13" s="14" t="n">
        <v>23.7</v>
      </c>
      <c r="AK13" s="14" t="n">
        <v>35.2</v>
      </c>
      <c r="AL13" s="14" t="n">
        <v>20.3</v>
      </c>
      <c r="AM13" s="14" t="n">
        <v>31.5</v>
      </c>
      <c r="AN13" s="14" t="n">
        <v>1.6</v>
      </c>
      <c r="AO13" s="14" t="n">
        <v>48</v>
      </c>
      <c r="AP13" s="14" t="n">
        <v>47.9</v>
      </c>
      <c r="AQ13" s="18" t="n">
        <v>630</v>
      </c>
    </row>
    <row r="14" customFormat="false" ht="15" hidden="false" customHeight="false" outlineLevel="0" collapsed="false">
      <c r="A14" s="4" t="s">
        <v>105</v>
      </c>
      <c r="B14" s="10" t="s">
        <v>106</v>
      </c>
      <c r="C14" s="11" t="n">
        <v>1</v>
      </c>
      <c r="D14" s="10" t="s">
        <v>97</v>
      </c>
      <c r="E14" s="11" t="n">
        <v>10</v>
      </c>
      <c r="F14" s="12" t="n">
        <v>11.25</v>
      </c>
      <c r="G14" s="13"/>
      <c r="H14" s="14" t="n">
        <v>15.9</v>
      </c>
      <c r="I14" s="15" t="n">
        <f aca="false">IF(H14="","",AVERAGE(H11:H14))</f>
        <v>15.525</v>
      </c>
      <c r="J14" s="14" t="n">
        <v>80</v>
      </c>
      <c r="K14" s="14" t="n">
        <v>36.8</v>
      </c>
      <c r="L14" s="14" t="n">
        <v>35.7</v>
      </c>
      <c r="M14" s="14" t="n">
        <v>44.8</v>
      </c>
      <c r="N14" s="15" t="n">
        <f aca="false">IF(OR(L14="",M14=""),"",ROUND(M14-L14,1))</f>
        <v>9.1</v>
      </c>
      <c r="O14" s="14"/>
      <c r="P14" s="14"/>
      <c r="Q14" s="15" t="str">
        <f aca="false">IF(OR(O14="",P14=""),"",ROUND(P14-O14,1))</f>
        <v/>
      </c>
      <c r="R14" s="14" t="n">
        <v>57.7</v>
      </c>
      <c r="S14" s="14" t="n">
        <v>25.4</v>
      </c>
      <c r="T14" s="14" t="n">
        <v>16.9</v>
      </c>
      <c r="U14" s="14" t="n">
        <v>61.2</v>
      </c>
      <c r="V14" s="14" t="n">
        <v>26.5</v>
      </c>
      <c r="Y14" s="14" t="n">
        <v>9.6</v>
      </c>
      <c r="Z14" s="14" t="n">
        <v>1.7</v>
      </c>
      <c r="AA14" s="14" t="n">
        <v>2</v>
      </c>
      <c r="AB14" s="16"/>
      <c r="AC14" s="16"/>
      <c r="AD14" s="14" t="n">
        <v>0.4</v>
      </c>
      <c r="AE14" s="17" t="n">
        <f aca="false">IF(OR(AA14="",H14=""),"",AA14/(AA14+H14))</f>
        <v>0.111731843575419</v>
      </c>
      <c r="AF14" s="17" t="str">
        <f aca="false">IF(OR(AB14="",O14=""),"",AB14/(AB14+O14))</f>
        <v/>
      </c>
      <c r="AG14" s="17" t="str">
        <f aca="false">IF(OR(AC14="",P14=""),"",AC14/(AC14+P14))</f>
        <v/>
      </c>
      <c r="AH14" s="14" t="n">
        <v>28.9</v>
      </c>
      <c r="AK14" s="14" t="n">
        <v>32.8</v>
      </c>
      <c r="AL14" s="14" t="n">
        <v>21.5</v>
      </c>
      <c r="AM14" s="14" t="n">
        <v>37.2</v>
      </c>
      <c r="AN14" s="14" t="n">
        <v>1.8</v>
      </c>
      <c r="AO14" s="14" t="n">
        <v>55.4</v>
      </c>
      <c r="AP14" s="14" t="n">
        <v>48.7</v>
      </c>
    </row>
    <row r="15" customFormat="false" ht="15" hidden="false" customHeight="false" outlineLevel="0" collapsed="false">
      <c r="A15" s="4" t="s">
        <v>107</v>
      </c>
      <c r="B15" s="10" t="s">
        <v>106</v>
      </c>
      <c r="C15" s="11" t="n">
        <v>2</v>
      </c>
      <c r="D15" s="10" t="s">
        <v>108</v>
      </c>
      <c r="E15" s="11" t="n">
        <v>11</v>
      </c>
      <c r="F15" s="12" t="n">
        <v>11.25</v>
      </c>
      <c r="G15" s="13"/>
      <c r="H15" s="14" t="n">
        <v>14.8</v>
      </c>
      <c r="I15" s="15" t="n">
        <f aca="false">IF(H15="","",AVERAGE(H12:H15))</f>
        <v>15.25</v>
      </c>
      <c r="J15" s="14" t="n">
        <v>81.6</v>
      </c>
      <c r="K15" s="14" t="n">
        <v>37.4</v>
      </c>
      <c r="L15" s="14" t="n">
        <v>36.6</v>
      </c>
      <c r="M15" s="14" t="n">
        <v>43.4</v>
      </c>
      <c r="N15" s="15" t="n">
        <f aca="false">IF(OR(L15="",M15=""),"",ROUND(M15-L15,1))</f>
        <v>6.8</v>
      </c>
      <c r="O15" s="14" t="n">
        <v>14</v>
      </c>
      <c r="P15" s="14" t="n">
        <v>21.6</v>
      </c>
      <c r="Q15" s="15" t="n">
        <f aca="false">IF(OR(O15="",P15=""),"",ROUND(P15-O15,1))</f>
        <v>7.6</v>
      </c>
      <c r="R15" s="14" t="n">
        <v>57.2</v>
      </c>
      <c r="S15" s="14" t="n">
        <v>25.9</v>
      </c>
      <c r="T15" s="14" t="n">
        <v>16.9</v>
      </c>
      <c r="U15" s="14" t="n">
        <v>59.4</v>
      </c>
      <c r="V15" s="14" t="n">
        <v>28.9</v>
      </c>
      <c r="Y15" s="14" t="n">
        <v>10.9</v>
      </c>
      <c r="Z15" s="14" t="n">
        <v>2.2</v>
      </c>
      <c r="AA15" s="14" t="n">
        <v>0.6</v>
      </c>
      <c r="AB15" s="16"/>
      <c r="AC15" s="16"/>
      <c r="AD15" s="14" t="n">
        <v>0.9</v>
      </c>
      <c r="AE15" s="17" t="n">
        <f aca="false">IF(OR(AA15="",H15=""),"",AA15/(AA15+H15))</f>
        <v>0.038961038961039</v>
      </c>
      <c r="AF15" s="17" t="str">
        <f aca="false">IF(OR(AB15="",O15=""),"",AB15/(AB15+O15))</f>
        <v/>
      </c>
      <c r="AG15" s="17" t="str">
        <f aca="false">IF(OR(AC15="",P15=""),"",AC15/(AC15+P15))</f>
        <v/>
      </c>
      <c r="AH15" s="14" t="n">
        <v>27.6</v>
      </c>
      <c r="AK15" s="14" t="n">
        <v>37.3</v>
      </c>
      <c r="AL15" s="14" t="n">
        <v>19.4</v>
      </c>
      <c r="AM15" s="14" t="n">
        <v>32.8</v>
      </c>
      <c r="AN15" s="14" t="n">
        <v>0.8</v>
      </c>
      <c r="AO15" s="14" t="n">
        <v>50.8</v>
      </c>
      <c r="AP15" s="14" t="n">
        <v>47.8</v>
      </c>
      <c r="AQ15" s="18" t="n">
        <v>638</v>
      </c>
    </row>
    <row r="16" customFormat="false" ht="15" hidden="false" customHeight="false" outlineLevel="0" collapsed="false">
      <c r="A16" s="4" t="s">
        <v>109</v>
      </c>
      <c r="B16" s="10" t="s">
        <v>106</v>
      </c>
      <c r="C16" s="11" t="n">
        <v>3</v>
      </c>
      <c r="D16" s="10" t="s">
        <v>108</v>
      </c>
      <c r="E16" s="11" t="n">
        <v>12</v>
      </c>
      <c r="F16" s="12" t="n">
        <v>11.25</v>
      </c>
      <c r="G16" s="13"/>
      <c r="H16" s="14" t="n">
        <v>15.2</v>
      </c>
      <c r="I16" s="15" t="n">
        <f aca="false">IF(H16="","",AVERAGE(H13:H16))</f>
        <v>14.925</v>
      </c>
      <c r="J16" s="14" t="n">
        <v>80.6</v>
      </c>
      <c r="K16" s="14" t="n">
        <v>36.3</v>
      </c>
      <c r="L16" s="14" t="n">
        <v>35.5</v>
      </c>
      <c r="M16" s="14" t="n">
        <v>42.4</v>
      </c>
      <c r="N16" s="15" t="n">
        <f aca="false">IF(OR(L16="",M16=""),"",ROUND(M16-L16,1))</f>
        <v>6.9</v>
      </c>
      <c r="O16" s="14"/>
      <c r="P16" s="14"/>
      <c r="Q16" s="15" t="str">
        <f aca="false">IF(OR(O16="",P16=""),"",ROUND(P16-O16,1))</f>
        <v/>
      </c>
      <c r="R16" s="14" t="n">
        <v>59.4</v>
      </c>
      <c r="S16" s="14" t="n">
        <v>22.2</v>
      </c>
      <c r="T16" s="14" t="n">
        <v>18.4</v>
      </c>
      <c r="U16" s="14" t="n">
        <v>58.1</v>
      </c>
      <c r="V16" s="14" t="n">
        <v>29.3</v>
      </c>
      <c r="Y16" s="14" t="n">
        <v>13.3</v>
      </c>
      <c r="Z16" s="14" t="n">
        <v>2.8</v>
      </c>
      <c r="AA16" s="14" t="n">
        <v>1.3</v>
      </c>
      <c r="AB16" s="16"/>
      <c r="AC16" s="16"/>
      <c r="AD16" s="14" t="n">
        <v>0.1</v>
      </c>
      <c r="AE16" s="17" t="n">
        <f aca="false">IF(OR(AA16="",H16=""),"",AA16/(AA16+H16))</f>
        <v>0.0787878787878788</v>
      </c>
      <c r="AF16" s="17" t="str">
        <f aca="false">IF(OR(AB16="",O16=""),"",AB16/(AB16+O16))</f>
        <v/>
      </c>
      <c r="AG16" s="17" t="str">
        <f aca="false">IF(OR(AC16="",P16=""),"",AC16/(AC16+P16))</f>
        <v/>
      </c>
      <c r="AH16" s="14" t="n">
        <v>38.9</v>
      </c>
      <c r="AK16" s="14" t="n">
        <v>42</v>
      </c>
      <c r="AL16" s="14" t="n">
        <v>22.3</v>
      </c>
      <c r="AM16" s="14" t="n">
        <v>33.5</v>
      </c>
      <c r="AN16" s="14" t="n">
        <v>2</v>
      </c>
      <c r="AO16" s="14" t="n">
        <v>51.8</v>
      </c>
      <c r="AP16" s="14" t="n">
        <v>48.9</v>
      </c>
    </row>
    <row r="17" customFormat="false" ht="15" hidden="false" customHeight="false" outlineLevel="0" collapsed="false">
      <c r="A17" s="4" t="s">
        <v>110</v>
      </c>
      <c r="B17" s="10" t="s">
        <v>106</v>
      </c>
      <c r="C17" s="11" t="n">
        <v>4</v>
      </c>
      <c r="D17" s="10" t="s">
        <v>108</v>
      </c>
      <c r="E17" s="11" t="n">
        <v>13</v>
      </c>
      <c r="F17" s="12" t="n">
        <v>11.25</v>
      </c>
      <c r="G17" s="13"/>
      <c r="H17" s="14" t="n">
        <v>15.6</v>
      </c>
      <c r="I17" s="15" t="n">
        <f aca="false">IF(H17="","",AVERAGE(H14:H17))</f>
        <v>15.375</v>
      </c>
      <c r="J17" s="14" t="n">
        <v>81.8</v>
      </c>
      <c r="K17" s="14" t="n">
        <v>40.6</v>
      </c>
      <c r="L17" s="14" t="n">
        <v>40.1</v>
      </c>
      <c r="M17" s="14" t="n">
        <v>44.3</v>
      </c>
      <c r="N17" s="15" t="n">
        <f aca="false">IF(OR(L17="",M17=""),"",ROUND(M17-L17,1))</f>
        <v>4.2</v>
      </c>
      <c r="O17" s="14" t="n">
        <v>15.3</v>
      </c>
      <c r="P17" s="14" t="n">
        <v>18.6</v>
      </c>
      <c r="Q17" s="15" t="n">
        <f aca="false">IF(OR(O17="",P17=""),"",ROUND(P17-O17,1))</f>
        <v>3.3</v>
      </c>
      <c r="R17" s="14" t="n">
        <v>56.1</v>
      </c>
      <c r="S17" s="14" t="n">
        <v>29.1</v>
      </c>
      <c r="T17" s="14" t="n">
        <v>14.8</v>
      </c>
      <c r="U17" s="14" t="n">
        <v>64.9</v>
      </c>
      <c r="V17" s="14" t="n">
        <v>32.3</v>
      </c>
      <c r="Y17" s="14" t="n">
        <v>14.8</v>
      </c>
      <c r="Z17" s="14" t="n">
        <v>1.4</v>
      </c>
      <c r="AA17" s="14" t="n">
        <v>1</v>
      </c>
      <c r="AB17" s="16"/>
      <c r="AC17" s="16"/>
      <c r="AD17" s="14" t="n">
        <v>0.2</v>
      </c>
      <c r="AE17" s="17" t="n">
        <f aca="false">IF(OR(AA17="",H17=""),"",AA17/(AA17+H17))</f>
        <v>0.0602409638554217</v>
      </c>
      <c r="AF17" s="17" t="str">
        <f aca="false">IF(OR(AB17="",O17=""),"",AB17/(AB17+O17))</f>
        <v/>
      </c>
      <c r="AG17" s="17" t="str">
        <f aca="false">IF(OR(AC17="",P17=""),"",AC17/(AC17+P17))</f>
        <v/>
      </c>
      <c r="AH17" s="14" t="n">
        <v>28.7</v>
      </c>
      <c r="AK17" s="14" t="n">
        <v>28.2</v>
      </c>
      <c r="AL17" s="14" t="n">
        <v>25.2</v>
      </c>
      <c r="AM17" s="14" t="n">
        <v>29.4</v>
      </c>
      <c r="AN17" s="14" t="n">
        <v>1.6</v>
      </c>
      <c r="AO17" s="14" t="n">
        <v>52.5</v>
      </c>
      <c r="AP17" s="14" t="n">
        <v>49</v>
      </c>
      <c r="AQ17" s="18" t="n">
        <v>644</v>
      </c>
    </row>
    <row r="18" customFormat="false" ht="15" hidden="false" customHeight="false" outlineLevel="0" collapsed="false">
      <c r="A18" s="4" t="s">
        <v>111</v>
      </c>
      <c r="B18" s="10" t="s">
        <v>112</v>
      </c>
      <c r="C18" s="11" t="n">
        <v>1</v>
      </c>
      <c r="D18" s="10" t="s">
        <v>113</v>
      </c>
      <c r="E18" s="11" t="n">
        <v>14</v>
      </c>
      <c r="F18" s="12" t="n">
        <v>11</v>
      </c>
      <c r="G18" s="13"/>
      <c r="H18" s="14" t="n">
        <v>16.7</v>
      </c>
      <c r="I18" s="15" t="n">
        <f aca="false">IF(H18="","",AVERAGE(H15:H18))</f>
        <v>15.575</v>
      </c>
      <c r="J18" s="14" t="n">
        <v>78.9</v>
      </c>
      <c r="K18" s="14" t="n">
        <v>39.5</v>
      </c>
      <c r="L18" s="14" t="n">
        <v>38.6</v>
      </c>
      <c r="M18" s="14" t="n">
        <v>46.5</v>
      </c>
      <c r="N18" s="15" t="n">
        <f aca="false">IF(OR(L18="",M18=""),"",ROUND(M18-L18,1))</f>
        <v>7.9</v>
      </c>
      <c r="O18" s="14" t="n">
        <v>16.3</v>
      </c>
      <c r="P18" s="14" t="n">
        <v>20.2</v>
      </c>
      <c r="Q18" s="15" t="n">
        <f aca="false">IF(OR(O18="",P18=""),"",ROUND(P18-O18,1))</f>
        <v>3.9</v>
      </c>
      <c r="R18" s="14" t="n">
        <v>56.6</v>
      </c>
      <c r="S18" s="14" t="n">
        <v>24.1</v>
      </c>
      <c r="T18" s="14" t="n">
        <v>19.3</v>
      </c>
      <c r="U18" s="14" t="n">
        <v>64.4</v>
      </c>
      <c r="V18" s="14" t="n">
        <v>30.5</v>
      </c>
      <c r="Y18" s="14" t="n">
        <v>10.3</v>
      </c>
      <c r="Z18" s="14" t="n">
        <v>2.6</v>
      </c>
      <c r="AA18" s="14" t="n">
        <v>1.6</v>
      </c>
      <c r="AB18" s="16"/>
      <c r="AC18" s="16"/>
      <c r="AD18" s="14" t="n">
        <v>0.2</v>
      </c>
      <c r="AE18" s="17" t="n">
        <f aca="false">IF(OR(AA18="",H18=""),"",AA18/(AA18+H18))</f>
        <v>0.087431693989071</v>
      </c>
      <c r="AF18" s="17" t="str">
        <f aca="false">IF(OR(AB18="",O18=""),"",AB18/(AB18+O18))</f>
        <v/>
      </c>
      <c r="AG18" s="17" t="str">
        <f aca="false">IF(OR(AC18="",P18=""),"",AC18/(AC18+P18))</f>
        <v/>
      </c>
      <c r="AH18" s="14" t="n">
        <v>26.8</v>
      </c>
      <c r="AK18" s="14" t="n">
        <v>25.8</v>
      </c>
      <c r="AL18" s="14" t="n">
        <v>23.1</v>
      </c>
      <c r="AM18" s="14" t="n">
        <v>37.6</v>
      </c>
      <c r="AN18" s="14" t="n">
        <v>2</v>
      </c>
      <c r="AO18" s="14" t="n">
        <v>53.5</v>
      </c>
      <c r="AP18" s="14" t="n">
        <v>47.7</v>
      </c>
      <c r="AR18" s="19" t="s">
        <v>114</v>
      </c>
    </row>
    <row r="19" customFormat="false" ht="15" hidden="false" customHeight="false" outlineLevel="0" collapsed="false">
      <c r="A19" s="4" t="s">
        <v>115</v>
      </c>
      <c r="B19" s="10" t="s">
        <v>112</v>
      </c>
      <c r="C19" s="11" t="n">
        <v>2</v>
      </c>
      <c r="D19" s="10" t="s">
        <v>113</v>
      </c>
      <c r="E19" s="11" t="n">
        <v>15</v>
      </c>
      <c r="F19" s="12" t="n">
        <v>11</v>
      </c>
      <c r="G19" s="13"/>
      <c r="H19" s="14" t="n">
        <v>12.5</v>
      </c>
      <c r="I19" s="15" t="n">
        <f aca="false">IF(H19="","",AVERAGE(H16:H19))</f>
        <v>15</v>
      </c>
      <c r="J19" s="14" t="n">
        <v>83.5</v>
      </c>
      <c r="K19" s="14" t="n">
        <v>40.1</v>
      </c>
      <c r="L19" s="14" t="n">
        <v>39.3</v>
      </c>
      <c r="M19" s="14" t="n">
        <v>46.2</v>
      </c>
      <c r="N19" s="15" t="n">
        <f aca="false">IF(OR(L19="",M19=""),"",ROUND(M19-L19,1))</f>
        <v>6.9</v>
      </c>
      <c r="O19" s="14" t="n">
        <v>11.2</v>
      </c>
      <c r="P19" s="14" t="n">
        <v>22.2</v>
      </c>
      <c r="Q19" s="15" t="n">
        <f aca="false">IF(OR(O19="",P19=""),"",ROUND(P19-O19,1))</f>
        <v>11</v>
      </c>
      <c r="R19" s="14" t="n">
        <v>58.1</v>
      </c>
      <c r="S19" s="14" t="n">
        <v>24.1</v>
      </c>
      <c r="T19" s="14" t="n">
        <v>17.8</v>
      </c>
      <c r="U19" s="14" t="n">
        <v>62.6</v>
      </c>
      <c r="V19" s="14" t="n">
        <v>27.7</v>
      </c>
      <c r="Y19" s="14" t="n">
        <v>12.1</v>
      </c>
      <c r="Z19" s="14" t="n">
        <v>3.3</v>
      </c>
      <c r="AA19" s="14" t="n">
        <v>0.5</v>
      </c>
      <c r="AB19" s="16"/>
      <c r="AC19" s="16"/>
      <c r="AD19" s="14" t="n">
        <v>0.2</v>
      </c>
      <c r="AE19" s="17" t="n">
        <f aca="false">IF(OR(AA19="",H19=""),"",AA19/(AA19+H19))</f>
        <v>0.0384615384615385</v>
      </c>
      <c r="AF19" s="17" t="str">
        <f aca="false">IF(OR(AB19="",O19=""),"",AB19/(AB19+O19))</f>
        <v/>
      </c>
      <c r="AG19" s="17" t="str">
        <f aca="false">IF(OR(AC19="",P19=""),"",AC19/(AC19+P19))</f>
        <v/>
      </c>
      <c r="AH19" s="14" t="n">
        <v>28</v>
      </c>
      <c r="AK19" s="14" t="n">
        <v>34.7</v>
      </c>
      <c r="AL19" s="14" t="n">
        <v>24.2</v>
      </c>
      <c r="AM19" s="14" t="n">
        <v>40.5</v>
      </c>
      <c r="AN19" s="14" t="n">
        <v>2.2</v>
      </c>
      <c r="AO19" s="14" t="n">
        <v>50.1</v>
      </c>
      <c r="AP19" s="14" t="n">
        <v>49.3</v>
      </c>
      <c r="AQ19" s="18" t="n">
        <v>648</v>
      </c>
    </row>
    <row r="20" customFormat="false" ht="15" hidden="false" customHeight="false" outlineLevel="0" collapsed="false">
      <c r="A20" s="4" t="s">
        <v>116</v>
      </c>
      <c r="B20" s="10" t="s">
        <v>112</v>
      </c>
      <c r="C20" s="11" t="n">
        <v>3</v>
      </c>
      <c r="D20" s="10" t="s">
        <v>113</v>
      </c>
      <c r="E20" s="11" t="n">
        <v>16</v>
      </c>
      <c r="F20" s="12" t="n">
        <v>10.5</v>
      </c>
      <c r="G20" s="13"/>
      <c r="H20" s="14" t="n">
        <v>15.2</v>
      </c>
      <c r="I20" s="15" t="n">
        <f aca="false">IF(H20="","",AVERAGE(H17:H20))</f>
        <v>15</v>
      </c>
      <c r="J20" s="14" t="n">
        <v>79.5</v>
      </c>
      <c r="K20" s="14" t="n">
        <v>39.9</v>
      </c>
      <c r="L20" s="14" t="n">
        <v>38.9</v>
      </c>
      <c r="M20" s="14" t="n">
        <v>47.5</v>
      </c>
      <c r="N20" s="15" t="n">
        <f aca="false">IF(OR(L20="",M20=""),"",ROUND(M20-L20,1))</f>
        <v>8.6</v>
      </c>
      <c r="O20" s="14"/>
      <c r="P20" s="14"/>
      <c r="Q20" s="15" t="str">
        <f aca="false">IF(OR(O20="",P20=""),"",ROUND(P20-O20,1))</f>
        <v/>
      </c>
      <c r="R20" s="14" t="n">
        <v>54.5</v>
      </c>
      <c r="S20" s="14" t="n">
        <v>26.8</v>
      </c>
      <c r="T20" s="14" t="n">
        <v>18.7</v>
      </c>
      <c r="U20" s="14" t="n">
        <v>58.4</v>
      </c>
      <c r="V20" s="14" t="n">
        <v>28</v>
      </c>
      <c r="Y20" s="14" t="n">
        <v>12.3</v>
      </c>
      <c r="Z20" s="14" t="n">
        <v>3.1</v>
      </c>
      <c r="AA20" s="14" t="n">
        <v>0.9</v>
      </c>
      <c r="AB20" s="16"/>
      <c r="AC20" s="16"/>
      <c r="AD20" s="14" t="n">
        <v>1.4</v>
      </c>
      <c r="AE20" s="17" t="n">
        <f aca="false">IF(OR(AA20="",H20=""),"",AA20/(AA20+H20))</f>
        <v>0.0559006211180124</v>
      </c>
      <c r="AF20" s="17" t="str">
        <f aca="false">IF(OR(AB20="",O20=""),"",AB20/(AB20+O20))</f>
        <v/>
      </c>
      <c r="AG20" s="17" t="str">
        <f aca="false">IF(OR(AC20="",P20=""),"",AC20/(AC20+P20))</f>
        <v/>
      </c>
      <c r="AH20" s="14" t="n">
        <v>41.1</v>
      </c>
      <c r="AK20" s="14" t="n">
        <v>40.5</v>
      </c>
      <c r="AL20" s="14" t="n">
        <v>25.7</v>
      </c>
      <c r="AM20" s="14" t="n">
        <v>37.2</v>
      </c>
      <c r="AN20" s="14" t="n">
        <v>1.6</v>
      </c>
      <c r="AO20" s="14" t="n">
        <v>54.6</v>
      </c>
      <c r="AP20" s="14" t="n">
        <v>58.1</v>
      </c>
    </row>
    <row r="21" customFormat="false" ht="15" hidden="false" customHeight="false" outlineLevel="0" collapsed="false">
      <c r="A21" s="4" t="s">
        <v>117</v>
      </c>
      <c r="B21" s="10" t="s">
        <v>112</v>
      </c>
      <c r="C21" s="11" t="n">
        <v>4</v>
      </c>
      <c r="D21" s="10" t="s">
        <v>113</v>
      </c>
      <c r="E21" s="11" t="n">
        <v>17</v>
      </c>
      <c r="F21" s="12" t="n">
        <v>10</v>
      </c>
      <c r="G21" s="13"/>
      <c r="H21" s="14" t="n">
        <v>12.1</v>
      </c>
      <c r="I21" s="15" t="n">
        <f aca="false">IF(H21="","",AVERAGE(H18:H21))</f>
        <v>14.125</v>
      </c>
      <c r="J21" s="14" t="n">
        <v>84.7</v>
      </c>
      <c r="K21" s="14" t="n">
        <v>36.3</v>
      </c>
      <c r="L21" s="14" t="n">
        <v>34.8</v>
      </c>
      <c r="M21" s="14" t="n">
        <v>48</v>
      </c>
      <c r="N21" s="15" t="n">
        <f aca="false">IF(OR(L21="",M21=""),"",ROUND(M21-L21,1))</f>
        <v>13.2</v>
      </c>
      <c r="O21" s="14" t="n">
        <v>10.9</v>
      </c>
      <c r="P21" s="14" t="n">
        <v>21.4</v>
      </c>
      <c r="Q21" s="15" t="n">
        <f aca="false">IF(OR(O21="",P21=""),"",ROUND(P21-O21,1))</f>
        <v>10.5</v>
      </c>
      <c r="R21" s="14" t="n">
        <v>55.4</v>
      </c>
      <c r="S21" s="14" t="n">
        <v>25.7</v>
      </c>
      <c r="T21" s="14" t="n">
        <v>18.8</v>
      </c>
      <c r="U21" s="14" t="n">
        <v>60</v>
      </c>
      <c r="V21" s="14" t="n">
        <v>28</v>
      </c>
      <c r="Y21" s="14" t="n">
        <v>16.2</v>
      </c>
      <c r="Z21" s="14" t="n">
        <v>1.2</v>
      </c>
      <c r="AA21" s="14" t="n">
        <v>1.3</v>
      </c>
      <c r="AB21" s="16"/>
      <c r="AC21" s="16"/>
      <c r="AD21" s="14" t="n">
        <v>0.8</v>
      </c>
      <c r="AE21" s="17" t="n">
        <f aca="false">IF(OR(AA21="",H21=""),"",AA21/(AA21+H21))</f>
        <v>0.0970149253731343</v>
      </c>
      <c r="AF21" s="17" t="str">
        <f aca="false">IF(OR(AB21="",O21=""),"",AB21/(AB21+O21))</f>
        <v/>
      </c>
      <c r="AG21" s="17" t="str">
        <f aca="false">IF(OR(AC21="",P21=""),"",AC21/(AC21+P21))</f>
        <v/>
      </c>
      <c r="AH21" s="14" t="n">
        <v>33.7</v>
      </c>
      <c r="AK21" s="14" t="n">
        <v>34.3</v>
      </c>
      <c r="AL21" s="14" t="n">
        <v>23.1</v>
      </c>
      <c r="AM21" s="14" t="n">
        <v>40.9</v>
      </c>
      <c r="AN21" s="14" t="n">
        <v>1.9</v>
      </c>
      <c r="AO21" s="14" t="n">
        <v>54.1</v>
      </c>
      <c r="AP21" s="14" t="n">
        <v>50.8</v>
      </c>
      <c r="AQ21" s="18" t="n">
        <v>664</v>
      </c>
    </row>
    <row r="22" customFormat="false" ht="15" hidden="false" customHeight="false" outlineLevel="0" collapsed="false">
      <c r="A22" s="4" t="s">
        <v>118</v>
      </c>
      <c r="B22" s="10" t="s">
        <v>119</v>
      </c>
      <c r="C22" s="11" t="n">
        <v>1</v>
      </c>
      <c r="D22" s="10" t="s">
        <v>113</v>
      </c>
      <c r="E22" s="11" t="n">
        <v>18</v>
      </c>
      <c r="F22" s="12" t="n">
        <v>9</v>
      </c>
      <c r="G22" s="13"/>
      <c r="H22" s="14" t="n">
        <v>13.3</v>
      </c>
      <c r="I22" s="15" t="n">
        <f aca="false">IF(H22="","",AVERAGE(H19:H22))</f>
        <v>13.275</v>
      </c>
      <c r="J22" s="14" t="n">
        <v>82.2</v>
      </c>
      <c r="K22" s="14" t="n">
        <v>37.4</v>
      </c>
      <c r="L22" s="14" t="n">
        <v>36.3</v>
      </c>
      <c r="M22" s="14" t="n">
        <v>45.9</v>
      </c>
      <c r="N22" s="15" t="n">
        <f aca="false">IF(OR(L22="",M22=""),"",ROUND(M22-L22,1))</f>
        <v>9.6</v>
      </c>
      <c r="O22" s="14"/>
      <c r="P22" s="14"/>
      <c r="Q22" s="15" t="str">
        <f aca="false">IF(OR(O22="",P22=""),"",ROUND(P22-O22,1))</f>
        <v/>
      </c>
      <c r="R22" s="14" t="n">
        <v>55.6</v>
      </c>
      <c r="S22" s="14" t="n">
        <v>27.3</v>
      </c>
      <c r="T22" s="14" t="n">
        <v>17.1</v>
      </c>
      <c r="U22" s="14" t="n">
        <v>62.1</v>
      </c>
      <c r="V22" s="14" t="n">
        <v>27.3</v>
      </c>
      <c r="Y22" s="14" t="n">
        <v>12.9</v>
      </c>
      <c r="Z22" s="14" t="n">
        <v>2.6</v>
      </c>
      <c r="AA22" s="14" t="n">
        <v>1</v>
      </c>
      <c r="AB22" s="16"/>
      <c r="AC22" s="16"/>
      <c r="AD22" s="14" t="n">
        <v>0.9</v>
      </c>
      <c r="AE22" s="17" t="n">
        <f aca="false">IF(OR(AA22="",H22=""),"",AA22/(AA22+H22))</f>
        <v>0.0699300699300699</v>
      </c>
      <c r="AF22" s="17" t="str">
        <f aca="false">IF(OR(AB22="",O22=""),"",AB22/(AB22+O22))</f>
        <v/>
      </c>
      <c r="AG22" s="17" t="str">
        <f aca="false">IF(OR(AC22="",P22=""),"",AC22/(AC22+P22))</f>
        <v/>
      </c>
      <c r="AH22" s="14" t="n">
        <v>39.3</v>
      </c>
      <c r="AK22" s="14" t="n">
        <v>38.2</v>
      </c>
      <c r="AL22" s="14" t="n">
        <v>21.9</v>
      </c>
      <c r="AM22" s="14" t="n">
        <v>37.4</v>
      </c>
      <c r="AN22" s="14" t="n">
        <v>1.1</v>
      </c>
      <c r="AO22" s="14" t="n">
        <v>52.7</v>
      </c>
      <c r="AP22" s="14" t="n">
        <v>54.6</v>
      </c>
    </row>
    <row r="23" customFormat="false" ht="15" hidden="false" customHeight="false" outlineLevel="0" collapsed="false">
      <c r="A23" s="4" t="s">
        <v>120</v>
      </c>
      <c r="B23" s="10" t="s">
        <v>119</v>
      </c>
      <c r="C23" s="11" t="n">
        <v>2</v>
      </c>
      <c r="D23" s="10" t="s">
        <v>113</v>
      </c>
      <c r="E23" s="11" t="n">
        <v>19</v>
      </c>
      <c r="F23" s="12" t="n">
        <v>8</v>
      </c>
      <c r="G23" s="13"/>
      <c r="H23" s="14" t="n">
        <v>14.9</v>
      </c>
      <c r="I23" s="15" t="n">
        <f aca="false">IF(H23="","",AVERAGE(H20:H23))</f>
        <v>13.875</v>
      </c>
      <c r="J23" s="14" t="n">
        <v>82.3</v>
      </c>
      <c r="K23" s="14" t="n">
        <v>35.8</v>
      </c>
      <c r="L23" s="14" t="n">
        <v>34.5</v>
      </c>
      <c r="M23" s="14" t="n">
        <v>46</v>
      </c>
      <c r="N23" s="15" t="n">
        <f aca="false">IF(OR(L23="",M23=""),"",ROUND(M23-L23,1))</f>
        <v>11.5</v>
      </c>
      <c r="O23" s="14" t="n">
        <v>14.1</v>
      </c>
      <c r="P23" s="14" t="n">
        <v>21.4</v>
      </c>
      <c r="Q23" s="15" t="n">
        <f aca="false">IF(OR(O23="",P23=""),"",ROUND(P23-O23,1))</f>
        <v>7.3</v>
      </c>
      <c r="R23" s="14" t="n">
        <v>56.5</v>
      </c>
      <c r="S23" s="14" t="n">
        <v>23.8</v>
      </c>
      <c r="T23" s="14" t="n">
        <v>19.7</v>
      </c>
      <c r="U23" s="14" t="n">
        <v>60.6</v>
      </c>
      <c r="V23" s="14" t="n">
        <v>29.9</v>
      </c>
      <c r="Y23" s="14" t="n">
        <v>10.6</v>
      </c>
      <c r="Z23" s="14" t="n">
        <v>1.7</v>
      </c>
      <c r="AA23" s="14" t="n">
        <v>0.8</v>
      </c>
      <c r="AB23" s="16"/>
      <c r="AC23" s="16"/>
      <c r="AD23" s="14" t="n">
        <v>0.3</v>
      </c>
      <c r="AE23" s="17" t="n">
        <f aca="false">IF(OR(AA23="",H23=""),"",AA23/(AA23+H23))</f>
        <v>0.0509554140127389</v>
      </c>
      <c r="AF23" s="17" t="str">
        <f aca="false">IF(OR(AB23="",O23=""),"",AB23/(AB23+O23))</f>
        <v/>
      </c>
      <c r="AG23" s="17" t="str">
        <f aca="false">IF(OR(AC23="",P23=""),"",AC23/(AC23+P23))</f>
        <v/>
      </c>
      <c r="AH23" s="14" t="n">
        <v>46.7</v>
      </c>
      <c r="AK23" s="14" t="n">
        <v>39.2</v>
      </c>
      <c r="AL23" s="14" t="n">
        <v>19.4</v>
      </c>
      <c r="AM23" s="14" t="n">
        <v>47.8</v>
      </c>
      <c r="AN23" s="14" t="n">
        <v>1.1</v>
      </c>
      <c r="AO23" s="14" t="n">
        <v>51.3</v>
      </c>
      <c r="AP23" s="14" t="n">
        <v>55.4</v>
      </c>
      <c r="AQ23" s="18" t="n">
        <v>650</v>
      </c>
    </row>
    <row r="24" customFormat="false" ht="15" hidden="false" customHeight="false" outlineLevel="0" collapsed="false">
      <c r="A24" s="4" t="s">
        <v>121</v>
      </c>
      <c r="B24" s="10" t="s">
        <v>119</v>
      </c>
      <c r="C24" s="11" t="n">
        <v>3</v>
      </c>
      <c r="D24" s="10" t="s">
        <v>113</v>
      </c>
      <c r="E24" s="11" t="n">
        <v>20</v>
      </c>
      <c r="F24" s="12" t="n">
        <v>7.5</v>
      </c>
      <c r="G24" s="13"/>
      <c r="H24" s="14" t="n">
        <v>11.5</v>
      </c>
      <c r="I24" s="15" t="n">
        <f aca="false">IF(H24="","",AVERAGE(H21:H24))</f>
        <v>12.95</v>
      </c>
      <c r="J24" s="14" t="n">
        <v>85.2</v>
      </c>
      <c r="K24" s="14" t="n">
        <v>37.6</v>
      </c>
      <c r="L24" s="14" t="n">
        <v>36.6</v>
      </c>
      <c r="M24" s="14" t="n">
        <v>45.5</v>
      </c>
      <c r="N24" s="15" t="n">
        <f aca="false">IF(OR(L24="",M24=""),"",ROUND(M24-L24,1))</f>
        <v>8.9</v>
      </c>
      <c r="O24" s="14"/>
      <c r="P24" s="14"/>
      <c r="Q24" s="15" t="str">
        <f aca="false">IF(OR(O24="",P24=""),"",ROUND(P24-O24,1))</f>
        <v/>
      </c>
      <c r="R24" s="14" t="n">
        <v>56.3</v>
      </c>
      <c r="S24" s="14" t="n">
        <v>26.7</v>
      </c>
      <c r="T24" s="14" t="n">
        <v>17</v>
      </c>
      <c r="U24" s="14" t="n">
        <v>56.4</v>
      </c>
      <c r="V24" s="14" t="n">
        <v>25.3</v>
      </c>
      <c r="Y24" s="14" t="n">
        <v>12.9</v>
      </c>
      <c r="Z24" s="14" t="n">
        <v>1.7</v>
      </c>
      <c r="AA24" s="14" t="n">
        <v>1.3</v>
      </c>
      <c r="AB24" s="16"/>
      <c r="AC24" s="16"/>
      <c r="AD24" s="14" t="n">
        <v>0.3</v>
      </c>
      <c r="AE24" s="17" t="n">
        <f aca="false">IF(OR(AA24="",H24=""),"",AA24/(AA24+H24))</f>
        <v>0.1015625</v>
      </c>
      <c r="AF24" s="17" t="str">
        <f aca="false">IF(OR(AB24="",O24=""),"",AB24/(AB24+O24))</f>
        <v/>
      </c>
      <c r="AG24" s="17" t="str">
        <f aca="false">IF(OR(AC24="",P24=""),"",AC24/(AC24+P24))</f>
        <v/>
      </c>
      <c r="AH24" s="14" t="n">
        <v>49</v>
      </c>
      <c r="AK24" s="14" t="n">
        <v>41.8</v>
      </c>
      <c r="AL24" s="14" t="n">
        <v>21.3</v>
      </c>
      <c r="AM24" s="14" t="n">
        <v>41.5</v>
      </c>
      <c r="AN24" s="14" t="n">
        <v>2.2</v>
      </c>
      <c r="AO24" s="14" t="n">
        <v>52.6</v>
      </c>
      <c r="AP24" s="14" t="n">
        <v>58.8</v>
      </c>
    </row>
    <row r="25" customFormat="false" ht="15" hidden="false" customHeight="false" outlineLevel="0" collapsed="false">
      <c r="A25" s="4" t="s">
        <v>122</v>
      </c>
      <c r="B25" s="10" t="s">
        <v>119</v>
      </c>
      <c r="C25" s="11" t="n">
        <v>4</v>
      </c>
      <c r="D25" s="10" t="s">
        <v>113</v>
      </c>
      <c r="E25" s="11" t="n">
        <v>21</v>
      </c>
      <c r="F25" s="12" t="n">
        <v>7</v>
      </c>
      <c r="G25" s="13"/>
      <c r="H25" s="14" t="n">
        <v>15.3</v>
      </c>
      <c r="I25" s="15" t="n">
        <f aca="false">IF(H25="","",AVERAGE(H22:H25))</f>
        <v>13.75</v>
      </c>
      <c r="J25" s="14" t="n">
        <v>81.5</v>
      </c>
      <c r="K25" s="14" t="n">
        <v>38.4</v>
      </c>
      <c r="L25" s="14" t="n">
        <v>37.1</v>
      </c>
      <c r="M25" s="14" t="n">
        <v>48</v>
      </c>
      <c r="N25" s="15" t="n">
        <f aca="false">IF(OR(L25="",M25=""),"",ROUND(M25-L25,1))</f>
        <v>10.9</v>
      </c>
      <c r="O25" s="14" t="n">
        <v>14.5</v>
      </c>
      <c r="P25" s="14" t="n">
        <v>22.2</v>
      </c>
      <c r="Q25" s="15" t="n">
        <f aca="false">IF(OR(O25="",P25=""),"",ROUND(P25-O25,1))</f>
        <v>7.7</v>
      </c>
      <c r="R25" s="14" t="n">
        <v>50.8</v>
      </c>
      <c r="S25" s="14" t="n">
        <v>29.1</v>
      </c>
      <c r="T25" s="14" t="n">
        <v>20.1</v>
      </c>
      <c r="U25" s="14" t="n">
        <v>62.2</v>
      </c>
      <c r="V25" s="14" t="n">
        <v>26.5</v>
      </c>
      <c r="Y25" s="14" t="n">
        <v>11.2</v>
      </c>
      <c r="Z25" s="14" t="n">
        <v>2.4</v>
      </c>
      <c r="AA25" s="14" t="n">
        <v>0.5</v>
      </c>
      <c r="AB25" s="16"/>
      <c r="AC25" s="16"/>
      <c r="AD25" s="14" t="n">
        <v>0.2</v>
      </c>
      <c r="AE25" s="17" t="n">
        <f aca="false">IF(OR(AA25="",H25=""),"",AA25/(AA25+H25))</f>
        <v>0.0316455696202532</v>
      </c>
      <c r="AF25" s="17" t="str">
        <f aca="false">IF(OR(AB25="",O25=""),"",AB25/(AB25+O25))</f>
        <v/>
      </c>
      <c r="AG25" s="17" t="str">
        <f aca="false">IF(OR(AC25="",P25=""),"",AC25/(AC25+P25))</f>
        <v/>
      </c>
      <c r="AH25" s="14" t="n">
        <v>47.6</v>
      </c>
      <c r="AK25" s="14" t="n">
        <v>40.9</v>
      </c>
      <c r="AL25" s="14" t="n">
        <v>19.3</v>
      </c>
      <c r="AM25" s="14" t="n">
        <v>42.5</v>
      </c>
      <c r="AN25" s="14" t="n">
        <v>2</v>
      </c>
      <c r="AO25" s="14" t="n">
        <v>57.3</v>
      </c>
      <c r="AP25" s="14" t="n">
        <v>57.9</v>
      </c>
      <c r="AQ25" s="18" t="n">
        <v>647</v>
      </c>
    </row>
    <row r="26" customFormat="false" ht="15" hidden="false" customHeight="false" outlineLevel="0" collapsed="false">
      <c r="A26" s="4" t="s">
        <v>123</v>
      </c>
      <c r="B26" s="10" t="s">
        <v>124</v>
      </c>
      <c r="C26" s="11" t="n">
        <v>1</v>
      </c>
      <c r="D26" s="10" t="s">
        <v>113</v>
      </c>
      <c r="E26" s="11" t="n">
        <v>22</v>
      </c>
      <c r="F26" s="12" t="n">
        <v>6.75</v>
      </c>
      <c r="G26" s="13"/>
      <c r="H26" s="14" t="n">
        <v>13.1</v>
      </c>
      <c r="I26" s="15" t="n">
        <f aca="false">IF(H26="","",AVERAGE(H23:H26))</f>
        <v>13.7</v>
      </c>
      <c r="J26" s="14" t="n">
        <v>79.2</v>
      </c>
      <c r="K26" s="14" t="n">
        <v>37</v>
      </c>
      <c r="L26" s="14" t="n">
        <v>35.8</v>
      </c>
      <c r="M26" s="14" t="n">
        <v>46.5</v>
      </c>
      <c r="N26" s="15" t="n">
        <f aca="false">IF(OR(L26="",M26=""),"",ROUND(M26-L26,1))</f>
        <v>10.7</v>
      </c>
      <c r="O26" s="14" t="n">
        <v>12.1</v>
      </c>
      <c r="P26" s="14" t="n">
        <v>20.4</v>
      </c>
      <c r="Q26" s="15" t="n">
        <f aca="false">IF(OR(O26="",P26=""),"",ROUND(P26-O26,1))</f>
        <v>8.3</v>
      </c>
      <c r="R26" s="14" t="n">
        <v>56.1</v>
      </c>
      <c r="S26" s="14" t="n">
        <v>23.5</v>
      </c>
      <c r="T26" s="14" t="n">
        <v>20.4</v>
      </c>
      <c r="U26" s="14" t="n">
        <v>64.3</v>
      </c>
      <c r="V26" s="14" t="n">
        <v>25</v>
      </c>
      <c r="Y26" s="14" t="n">
        <v>12.1</v>
      </c>
      <c r="Z26" s="14" t="n">
        <v>3.9</v>
      </c>
      <c r="AA26" s="14" t="n">
        <v>3.8</v>
      </c>
      <c r="AB26" s="16"/>
      <c r="AC26" s="16"/>
      <c r="AD26" s="14" t="n">
        <v>0</v>
      </c>
      <c r="AE26" s="17" t="n">
        <f aca="false">IF(OR(AA26="",H26=""),"",AA26/(AA26+H26))</f>
        <v>0.224852071005917</v>
      </c>
      <c r="AF26" s="17" t="str">
        <f aca="false">IF(OR(AB26="",O26=""),"",AB26/(AB26+O26))</f>
        <v/>
      </c>
      <c r="AG26" s="17" t="str">
        <f aca="false">IF(OR(AC26="",P26=""),"",AC26/(AC26+P26))</f>
        <v/>
      </c>
      <c r="AH26" s="14" t="n">
        <v>44.9</v>
      </c>
      <c r="AK26" s="14" t="n">
        <v>32.7</v>
      </c>
      <c r="AL26" s="14" t="n">
        <v>18.7</v>
      </c>
      <c r="AM26" s="14" t="n">
        <v>42</v>
      </c>
      <c r="AN26" s="14" t="n">
        <v>2.1</v>
      </c>
      <c r="AO26" s="14" t="n">
        <v>48.5</v>
      </c>
      <c r="AP26" s="14" t="n">
        <v>60.7</v>
      </c>
      <c r="AR26" s="19" t="s">
        <v>125</v>
      </c>
    </row>
    <row r="27" customFormat="false" ht="15" hidden="false" customHeight="false" outlineLevel="0" collapsed="false">
      <c r="A27" s="4" t="s">
        <v>126</v>
      </c>
      <c r="B27" s="10" t="s">
        <v>124</v>
      </c>
      <c r="C27" s="11" t="n">
        <v>2</v>
      </c>
      <c r="D27" s="10" t="s">
        <v>113</v>
      </c>
      <c r="E27" s="11" t="n">
        <v>23</v>
      </c>
      <c r="F27" s="12" t="n">
        <v>6.5</v>
      </c>
      <c r="G27" s="13"/>
      <c r="H27" s="14" t="n">
        <v>11.2</v>
      </c>
      <c r="I27" s="15" t="n">
        <f aca="false">IF(H27="","",AVERAGE(H24:H27))</f>
        <v>12.775</v>
      </c>
      <c r="J27" s="14" t="n">
        <v>82.1</v>
      </c>
      <c r="K27" s="14" t="n">
        <v>37.3</v>
      </c>
      <c r="L27" s="14" t="n">
        <v>35.7</v>
      </c>
      <c r="M27" s="14" t="n">
        <v>49.7</v>
      </c>
      <c r="N27" s="15" t="n">
        <f aca="false">IF(OR(L27="",M27=""),"",ROUND(M27-L27,1))</f>
        <v>14</v>
      </c>
      <c r="O27" s="14" t="n">
        <v>9.9</v>
      </c>
      <c r="P27" s="14" t="n">
        <v>21.6</v>
      </c>
      <c r="Q27" s="15" t="n">
        <f aca="false">IF(OR(O27="",P27=""),"",ROUND(P27-O27,1))</f>
        <v>11.7</v>
      </c>
      <c r="R27" s="14" t="n">
        <v>50.9</v>
      </c>
      <c r="S27" s="14" t="n">
        <v>30.7</v>
      </c>
      <c r="T27" s="14" t="n">
        <v>18.5</v>
      </c>
      <c r="U27" s="14" t="n">
        <v>60.9</v>
      </c>
      <c r="V27" s="14" t="n">
        <v>24.5</v>
      </c>
      <c r="W27" s="14" t="n">
        <v>22.7</v>
      </c>
      <c r="X27" s="14" t="n">
        <v>38.4</v>
      </c>
      <c r="Y27" s="14" t="n">
        <v>11.2</v>
      </c>
      <c r="Z27" s="14" t="n">
        <v>3</v>
      </c>
      <c r="AA27" s="14" t="n">
        <v>3.6</v>
      </c>
      <c r="AB27" s="16"/>
      <c r="AC27" s="16"/>
      <c r="AD27" s="14" t="n">
        <v>0.1</v>
      </c>
      <c r="AE27" s="17" t="n">
        <f aca="false">IF(OR(AA27="",H27=""),"",AA27/(AA27+H27))</f>
        <v>0.243243243243243</v>
      </c>
      <c r="AF27" s="17" t="str">
        <f aca="false">IF(OR(AB27="",O27=""),"",AB27/(AB27+O27))</f>
        <v/>
      </c>
      <c r="AG27" s="17" t="str">
        <f aca="false">IF(OR(AC27="",P27=""),"",AC27/(AC27+P27))</f>
        <v/>
      </c>
      <c r="AH27" s="14" t="n">
        <v>39.4</v>
      </c>
      <c r="AI27" s="14" t="n">
        <v>35.3</v>
      </c>
      <c r="AJ27" s="14" t="n">
        <v>53.7</v>
      </c>
      <c r="AK27" s="14" t="n">
        <v>34.9</v>
      </c>
      <c r="AL27" s="14" t="n">
        <v>20.3</v>
      </c>
      <c r="AM27" s="14" t="n">
        <v>44.6</v>
      </c>
      <c r="AN27" s="14" t="n">
        <v>1.2</v>
      </c>
      <c r="AO27" s="14" t="n">
        <v>55.6</v>
      </c>
      <c r="AP27" s="14" t="n">
        <v>62.6</v>
      </c>
      <c r="AQ27" s="18" t="n">
        <v>653</v>
      </c>
      <c r="AR27" s="19" t="s">
        <v>127</v>
      </c>
    </row>
    <row r="28" customFormat="false" ht="15" hidden="false" customHeight="false" outlineLevel="0" collapsed="false">
      <c r="A28" s="4" t="s">
        <v>128</v>
      </c>
      <c r="B28" s="10" t="s">
        <v>124</v>
      </c>
      <c r="C28" s="11" t="n">
        <v>3</v>
      </c>
      <c r="D28" s="10" t="s">
        <v>129</v>
      </c>
      <c r="E28" s="11" t="n">
        <v>24</v>
      </c>
      <c r="F28" s="12" t="n">
        <v>6.5</v>
      </c>
      <c r="G28" s="13"/>
      <c r="H28" s="16"/>
      <c r="I28" s="15" t="str">
        <f aca="false">IF(H28="","",AVERAGE(H25:H28))</f>
        <v/>
      </c>
      <c r="J28" s="16"/>
      <c r="K28" s="16"/>
      <c r="L28" s="16"/>
      <c r="M28" s="16"/>
      <c r="N28" s="15" t="str">
        <f aca="false">IF(OR(L28="",M28=""),"",ROUND(M28-L28,1))</f>
        <v/>
      </c>
      <c r="O28" s="16"/>
      <c r="P28" s="16"/>
      <c r="Q28" s="15" t="str">
        <f aca="false">IF(OR(O28="",P28=""),"",ROUND(P28-O28,1))</f>
        <v/>
      </c>
      <c r="R28" s="16"/>
      <c r="S28" s="16"/>
      <c r="T28" s="16"/>
      <c r="U28" s="16"/>
      <c r="V28" s="16"/>
      <c r="Y28" s="16"/>
      <c r="Z28" s="16"/>
      <c r="AA28" s="16"/>
      <c r="AB28" s="16"/>
      <c r="AC28" s="16"/>
      <c r="AD28" s="16"/>
      <c r="AE28" s="17" t="str">
        <f aca="false">IF(OR(AA28="",H28=""),"",AA28/(AA28+H28))</f>
        <v/>
      </c>
      <c r="AF28" s="17" t="str">
        <f aca="false">IF(OR(AB28="",O28=""),"",AB28/(AB28+O28))</f>
        <v/>
      </c>
      <c r="AG28" s="17" t="str">
        <f aca="false">IF(OR(AC28="",P28=""),"",AC28/(AC28+P28))</f>
        <v/>
      </c>
      <c r="AH28" s="16"/>
      <c r="AK28" s="16"/>
      <c r="AL28" s="16"/>
      <c r="AM28" s="16"/>
      <c r="AN28" s="16"/>
      <c r="AO28" s="16"/>
      <c r="AP28" s="16"/>
      <c r="AQ28" s="20"/>
      <c r="AR28" s="19" t="s">
        <v>130</v>
      </c>
    </row>
    <row r="30" customFormat="false" ht="15" hidden="false" customHeight="false" outlineLevel="0" collapsed="false">
      <c r="A30" s="19" t="s">
        <v>131</v>
      </c>
    </row>
    <row r="31" customFormat="false" ht="15" hidden="false" customHeight="false" outlineLevel="0" collapsed="false">
      <c r="A31" s="19" t="s">
        <v>132</v>
      </c>
    </row>
    <row r="32" customFormat="false" ht="15" hidden="false" customHeight="false" outlineLevel="0" collapsed="false">
      <c r="A32" s="19" t="s">
        <v>133</v>
      </c>
    </row>
    <row r="51" customFormat="false" ht="15" hidden="false" customHeight="false" outlineLevel="0" collapsed="false">
      <c r="A51" s="21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19"/>
    <col collapsed="false" customWidth="true" hidden="false" outlineLevel="0" max="10" min="6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22"/>
    <col collapsed="false" customWidth="true" hidden="false" outlineLevel="0" max="15" min="14" style="0" width="13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4" customFormat="false" ht="63.75" hidden="false" customHeight="true" outlineLevel="0" collapsed="false">
      <c r="A4" s="9" t="s">
        <v>47</v>
      </c>
      <c r="B4" s="9" t="s">
        <v>48</v>
      </c>
      <c r="C4" s="9" t="s">
        <v>49</v>
      </c>
      <c r="D4" s="9" t="s">
        <v>51</v>
      </c>
      <c r="E4" s="9" t="s">
        <v>137</v>
      </c>
      <c r="F4" s="9" t="s">
        <v>138</v>
      </c>
      <c r="G4" s="9" t="s">
        <v>139</v>
      </c>
      <c r="H4" s="9" t="s">
        <v>140</v>
      </c>
      <c r="I4" s="9" t="s">
        <v>141</v>
      </c>
      <c r="J4" s="9" t="s">
        <v>142</v>
      </c>
      <c r="K4" s="9" t="s">
        <v>143</v>
      </c>
      <c r="L4" s="9" t="s">
        <v>144</v>
      </c>
      <c r="M4" s="9" t="s">
        <v>145</v>
      </c>
      <c r="N4" s="9" t="s">
        <v>146</v>
      </c>
      <c r="O4" s="9" t="s">
        <v>147</v>
      </c>
    </row>
    <row r="5" customFormat="false" ht="15" hidden="false" customHeight="false" outlineLevel="0" collapsed="false">
      <c r="A5" s="4" t="s">
        <v>148</v>
      </c>
      <c r="B5" s="10" t="s">
        <v>92</v>
      </c>
      <c r="C5" s="11" t="n">
        <v>1</v>
      </c>
      <c r="D5" s="11" t="n">
        <v>1</v>
      </c>
      <c r="E5" s="10" t="s">
        <v>149</v>
      </c>
      <c r="F5" s="12" t="n">
        <v>6.5</v>
      </c>
      <c r="G5" s="13"/>
      <c r="H5" s="22" t="n">
        <f aca="false">'Muestra anterior'!B5</f>
        <v>24.2</v>
      </c>
      <c r="I5" s="22" t="n">
        <f aca="false">'Muestra anterior'!E5</f>
        <v>47.6</v>
      </c>
      <c r="J5" s="22" t="n">
        <f aca="false">'Muestra anterior'!H5</f>
        <v>61.1</v>
      </c>
      <c r="K5" s="22" t="n">
        <f aca="false">'Muestra anterior'!I5</f>
        <v>54.5</v>
      </c>
      <c r="M5" s="22" t="n">
        <f aca="false">'Muestra anterior'!B5</f>
        <v>24.2</v>
      </c>
    </row>
    <row r="6" customFormat="false" ht="15" hidden="false" customHeight="false" outlineLevel="0" collapsed="false">
      <c r="A6" s="4" t="s">
        <v>150</v>
      </c>
      <c r="B6" s="10" t="s">
        <v>92</v>
      </c>
      <c r="C6" s="11" t="n">
        <v>2</v>
      </c>
      <c r="D6" s="11" t="n">
        <v>2</v>
      </c>
      <c r="E6" s="10" t="s">
        <v>149</v>
      </c>
      <c r="F6" s="12" t="n">
        <v>5</v>
      </c>
      <c r="G6" s="13"/>
      <c r="H6" s="22" t="n">
        <f aca="false">'Muestra anterior'!B6</f>
        <v>21.6</v>
      </c>
      <c r="I6" s="22" t="n">
        <f aca="false">'Muestra anterior'!E6</f>
        <v>47.5</v>
      </c>
      <c r="J6" s="22" t="n">
        <f aca="false">'Muestra anterior'!H6</f>
        <v>38.5</v>
      </c>
      <c r="K6" s="22" t="n">
        <f aca="false">'Muestra anterior'!I6</f>
        <v>48.1</v>
      </c>
      <c r="M6" s="22" t="n">
        <f aca="false">'Muestra anterior'!B6</f>
        <v>21.6</v>
      </c>
    </row>
    <row r="7" customFormat="false" ht="15" hidden="false" customHeight="false" outlineLevel="0" collapsed="false">
      <c r="A7" s="4" t="s">
        <v>151</v>
      </c>
      <c r="B7" s="10" t="s">
        <v>92</v>
      </c>
      <c r="C7" s="11" t="n">
        <v>3</v>
      </c>
      <c r="D7" s="11" t="n">
        <v>3</v>
      </c>
      <c r="E7" s="10" t="s">
        <v>149</v>
      </c>
      <c r="F7" s="12" t="n">
        <v>4.25</v>
      </c>
      <c r="G7" s="13"/>
      <c r="H7" s="22" t="n">
        <f aca="false">'Muestra anterior'!B7</f>
        <v>19</v>
      </c>
      <c r="I7" s="22" t="n">
        <f aca="false">'Muestra anterior'!E7</f>
        <v>46.9</v>
      </c>
      <c r="J7" s="22" t="n">
        <f aca="false">'Muestra anterior'!H7</f>
        <v>50.8</v>
      </c>
      <c r="K7" s="22" t="n">
        <f aca="false">'Muestra anterior'!I7</f>
        <v>48.5</v>
      </c>
      <c r="M7" s="22" t="n">
        <f aca="false">'Muestra anterior'!B7</f>
        <v>19</v>
      </c>
    </row>
    <row r="8" customFormat="false" ht="15" hidden="false" customHeight="false" outlineLevel="0" collapsed="false">
      <c r="A8" s="4" t="s">
        <v>91</v>
      </c>
      <c r="B8" s="10" t="s">
        <v>92</v>
      </c>
      <c r="C8" s="11" t="n">
        <v>4</v>
      </c>
      <c r="D8" s="11" t="n">
        <v>4</v>
      </c>
      <c r="E8" s="10" t="s">
        <v>152</v>
      </c>
      <c r="F8" s="23" t="n">
        <f aca="false">Series!F5</f>
        <v>4.25</v>
      </c>
      <c r="G8" s="24" t="str">
        <f aca="false">IF(Series!G5="","",Series!G5)</f>
        <v/>
      </c>
      <c r="H8" s="22" t="n">
        <f aca="false">Series!H5</f>
        <v>13.6</v>
      </c>
      <c r="I8" s="22" t="n">
        <f aca="false">Series!K5</f>
        <v>39.7</v>
      </c>
      <c r="J8" s="22" t="n">
        <f aca="false">'Muestra anterior'!H8</f>
        <v>45.1</v>
      </c>
      <c r="K8" s="22" t="n">
        <f aca="false">Series!R5</f>
        <v>47.3</v>
      </c>
      <c r="L8" s="22" t="n">
        <f aca="false">Series!H5</f>
        <v>13.6</v>
      </c>
      <c r="M8" s="22" t="n">
        <f aca="false">'Muestra anterior'!B8</f>
        <v>16.8</v>
      </c>
      <c r="N8" s="15" t="n">
        <f aca="false">INTERCEPT($L$5:$L$30,$D$5:$D$30)+SLOPE($L$5:$L$30,$D$5:$D$30)*D8</f>
        <v>13.9641304347826</v>
      </c>
    </row>
    <row r="9" customFormat="false" ht="15" hidden="false" customHeight="false" outlineLevel="0" collapsed="false">
      <c r="A9" s="4" t="s">
        <v>94</v>
      </c>
      <c r="B9" s="10" t="s">
        <v>95</v>
      </c>
      <c r="C9" s="11" t="n">
        <v>1</v>
      </c>
      <c r="D9" s="11" t="n">
        <v>5</v>
      </c>
      <c r="E9" s="10" t="s">
        <v>152</v>
      </c>
      <c r="F9" s="23" t="n">
        <f aca="false">Series!F6</f>
        <v>4</v>
      </c>
      <c r="G9" s="24" t="str">
        <f aca="false">IF(Series!G6="","",Series!G6)</f>
        <v/>
      </c>
      <c r="H9" s="22" t="n">
        <f aca="false">Series!H6</f>
        <v>15.5</v>
      </c>
      <c r="I9" s="22" t="n">
        <f aca="false">Series!K6</f>
        <v>39.1</v>
      </c>
      <c r="J9" s="22" t="n">
        <f aca="false">'Muestra anterior'!H9</f>
        <v>52.8</v>
      </c>
      <c r="K9" s="22" t="n">
        <f aca="false">Series!R6</f>
        <v>51.6</v>
      </c>
      <c r="L9" s="22" t="n">
        <f aca="false">Series!H6</f>
        <v>15.5</v>
      </c>
      <c r="M9" s="22" t="n">
        <f aca="false">'Muestra anterior'!B9</f>
        <v>20.8</v>
      </c>
      <c r="N9" s="15" t="n">
        <f aca="false">INTERCEPT($L$5:$L$30,$D$5:$D$30)+SLOPE($L$5:$L$30,$D$5:$D$30)*D9</f>
        <v>13.9567193675889</v>
      </c>
    </row>
    <row r="10" customFormat="false" ht="15" hidden="false" customHeight="false" outlineLevel="0" collapsed="false">
      <c r="A10" s="4" t="s">
        <v>96</v>
      </c>
      <c r="B10" s="10" t="s">
        <v>95</v>
      </c>
      <c r="C10" s="11" t="n">
        <v>2</v>
      </c>
      <c r="D10" s="11" t="n">
        <v>6</v>
      </c>
      <c r="E10" s="10" t="s">
        <v>152</v>
      </c>
      <c r="F10" s="23" t="n">
        <f aca="false">Series!F7</f>
        <v>4.25</v>
      </c>
      <c r="G10" s="24" t="str">
        <f aca="false">IF(Series!G7="","",Series!G7)</f>
        <v/>
      </c>
      <c r="H10" s="22" t="n">
        <f aca="false">Series!H7</f>
        <v>11</v>
      </c>
      <c r="I10" s="22" t="n">
        <f aca="false">Series!K7</f>
        <v>36.6</v>
      </c>
      <c r="J10" s="22" t="n">
        <f aca="false">'Muestra anterior'!H10</f>
        <v>32.6</v>
      </c>
      <c r="K10" s="22" t="n">
        <f aca="false">Series!R7</f>
        <v>59.5</v>
      </c>
      <c r="L10" s="22" t="n">
        <f aca="false">Series!H7</f>
        <v>11</v>
      </c>
      <c r="M10" s="22" t="n">
        <f aca="false">'Muestra anterior'!B10</f>
        <v>17.4</v>
      </c>
      <c r="N10" s="15" t="n">
        <f aca="false">INTERCEPT($L$5:$L$30,$D$5:$D$30)+SLOPE($L$5:$L$30,$D$5:$D$30)*D10</f>
        <v>13.9493083003953</v>
      </c>
    </row>
    <row r="11" customFormat="false" ht="15" hidden="false" customHeight="false" outlineLevel="0" collapsed="false">
      <c r="A11" s="4" t="s">
        <v>98</v>
      </c>
      <c r="B11" s="10" t="s">
        <v>95</v>
      </c>
      <c r="C11" s="11" t="n">
        <v>3</v>
      </c>
      <c r="D11" s="11" t="n">
        <v>7</v>
      </c>
      <c r="E11" s="10" t="s">
        <v>152</v>
      </c>
      <c r="F11" s="23" t="n">
        <f aca="false">Series!F8</f>
        <v>4.75</v>
      </c>
      <c r="G11" s="24" t="str">
        <f aca="false">IF(Series!G8="","",Series!G8)</f>
        <v/>
      </c>
      <c r="H11" s="22" t="n">
        <f aca="false">Series!H8</f>
        <v>11.5</v>
      </c>
      <c r="I11" s="22" t="n">
        <f aca="false">Series!K8</f>
        <v>37.5</v>
      </c>
      <c r="J11" s="22" t="n">
        <f aca="false">'Muestra anterior'!H11</f>
        <v>33.8</v>
      </c>
      <c r="K11" s="22" t="n">
        <f aca="false">Series!R8</f>
        <v>51</v>
      </c>
      <c r="L11" s="22" t="n">
        <f aca="false">Series!H8</f>
        <v>11.5</v>
      </c>
      <c r="M11" s="22" t="n">
        <f aca="false">'Muestra anterior'!B11</f>
        <v>19.3</v>
      </c>
      <c r="N11" s="15" t="n">
        <f aca="false">INTERCEPT($L$5:$L$30,$D$5:$D$30)+SLOPE($L$5:$L$30,$D$5:$D$30)*D11</f>
        <v>13.9418972332016</v>
      </c>
    </row>
    <row r="12" customFormat="false" ht="15" hidden="false" customHeight="false" outlineLevel="0" collapsed="false">
      <c r="A12" s="4" t="s">
        <v>99</v>
      </c>
      <c r="B12" s="10" t="s">
        <v>95</v>
      </c>
      <c r="C12" s="11" t="n">
        <v>4</v>
      </c>
      <c r="D12" s="11" t="n">
        <v>8</v>
      </c>
      <c r="E12" s="10" t="s">
        <v>152</v>
      </c>
      <c r="F12" s="23" t="n">
        <f aca="false">Series!F9</f>
        <v>5.5</v>
      </c>
      <c r="G12" s="24" t="str">
        <f aca="false">IF(Series!G9="","",Series!G9)</f>
        <v/>
      </c>
      <c r="H12" s="22" t="n">
        <f aca="false">Series!H9</f>
        <v>9</v>
      </c>
      <c r="I12" s="22" t="n">
        <f aca="false">Series!K9</f>
        <v>37.5</v>
      </c>
      <c r="J12" s="22" t="n">
        <f aca="false">'Muestra anterior'!H12</f>
        <v>27.7</v>
      </c>
      <c r="K12" s="22" t="n">
        <f aca="false">Series!R9</f>
        <v>49.8</v>
      </c>
      <c r="L12" s="22" t="n">
        <f aca="false">Series!H9</f>
        <v>9</v>
      </c>
      <c r="M12" s="22" t="n">
        <f aca="false">'Muestra anterior'!B12</f>
        <v>17.8</v>
      </c>
      <c r="N12" s="15" t="n">
        <f aca="false">INTERCEPT($L$5:$L$30,$D$5:$D$30)+SLOPE($L$5:$L$30,$D$5:$D$30)*D12</f>
        <v>13.9344861660079</v>
      </c>
    </row>
    <row r="13" customFormat="false" ht="15" hidden="false" customHeight="false" outlineLevel="0" collapsed="false">
      <c r="A13" s="4" t="s">
        <v>100</v>
      </c>
      <c r="B13" s="10" t="s">
        <v>101</v>
      </c>
      <c r="C13" s="11" t="n">
        <v>1</v>
      </c>
      <c r="D13" s="11" t="n">
        <v>9</v>
      </c>
      <c r="E13" s="10" t="s">
        <v>152</v>
      </c>
      <c r="F13" s="23" t="n">
        <f aca="false">Series!F10</f>
        <v>6.5</v>
      </c>
      <c r="G13" s="24" t="str">
        <f aca="false">IF(Series!G10="","",Series!G10)</f>
        <v/>
      </c>
      <c r="H13" s="22" t="n">
        <f aca="false">Series!H10</f>
        <v>15.2</v>
      </c>
      <c r="I13" s="22" t="n">
        <f aca="false">Series!K10</f>
        <v>41.9</v>
      </c>
      <c r="J13" s="22" t="n">
        <f aca="false">'Muestra anterior'!H13</f>
        <v>23.6</v>
      </c>
      <c r="K13" s="22" t="n">
        <f aca="false">Series!R10</f>
        <v>51.2</v>
      </c>
      <c r="L13" s="22" t="n">
        <f aca="false">Series!H10</f>
        <v>15.2</v>
      </c>
      <c r="M13" s="22" t="n">
        <f aca="false">'Muestra anterior'!B13</f>
        <v>19.5</v>
      </c>
      <c r="N13" s="15" t="n">
        <f aca="false">INTERCEPT($L$5:$L$30,$D$5:$D$30)+SLOPE($L$5:$L$30,$D$5:$D$30)*D13</f>
        <v>13.9270750988142</v>
      </c>
    </row>
    <row r="14" customFormat="false" ht="15" hidden="false" customHeight="false" outlineLevel="0" collapsed="false">
      <c r="A14" s="4" t="s">
        <v>102</v>
      </c>
      <c r="B14" s="10" t="s">
        <v>101</v>
      </c>
      <c r="C14" s="11" t="n">
        <v>2</v>
      </c>
      <c r="D14" s="11" t="n">
        <v>10</v>
      </c>
      <c r="E14" s="10" t="s">
        <v>152</v>
      </c>
      <c r="F14" s="23" t="n">
        <f aca="false">Series!F11</f>
        <v>7.75</v>
      </c>
      <c r="G14" s="24" t="str">
        <f aca="false">IF(Series!G11="","",Series!G11)</f>
        <v/>
      </c>
      <c r="H14" s="22" t="n">
        <f aca="false">Series!H11</f>
        <v>15.9</v>
      </c>
      <c r="I14" s="22" t="n">
        <f aca="false">Series!K11</f>
        <v>40.2</v>
      </c>
      <c r="J14" s="22" t="n">
        <f aca="false">'Muestra anterior'!H14</f>
        <v>19.2</v>
      </c>
      <c r="K14" s="22" t="n">
        <f aca="false">Series!R11</f>
        <v>49.6</v>
      </c>
      <c r="L14" s="22" t="n">
        <f aca="false">Series!H11</f>
        <v>15.9</v>
      </c>
      <c r="M14" s="22" t="n">
        <f aca="false">'Muestra anterior'!B14</f>
        <v>21</v>
      </c>
      <c r="N14" s="15" t="n">
        <f aca="false">INTERCEPT($L$5:$L$30,$D$5:$D$30)+SLOPE($L$5:$L$30,$D$5:$D$30)*D14</f>
        <v>13.9196640316206</v>
      </c>
    </row>
    <row r="15" customFormat="false" ht="15" hidden="false" customHeight="false" outlineLevel="0" collapsed="false">
      <c r="A15" s="4" t="s">
        <v>103</v>
      </c>
      <c r="B15" s="10" t="s">
        <v>101</v>
      </c>
      <c r="C15" s="11" t="n">
        <v>3</v>
      </c>
      <c r="D15" s="11" t="n">
        <v>11</v>
      </c>
      <c r="E15" s="10" t="s">
        <v>152</v>
      </c>
      <c r="F15" s="23" t="n">
        <f aca="false">Series!F12</f>
        <v>9.25</v>
      </c>
      <c r="G15" s="24" t="str">
        <f aca="false">IF(Series!G12="","",Series!G12)</f>
        <v/>
      </c>
      <c r="H15" s="22" t="n">
        <f aca="false">Series!H12</f>
        <v>16.5</v>
      </c>
      <c r="I15" s="22" t="n">
        <f aca="false">Series!K12</f>
        <v>37.9</v>
      </c>
      <c r="J15" s="22" t="n">
        <f aca="false">Series!AH12</f>
        <v>23.8</v>
      </c>
      <c r="K15" s="22" t="n">
        <f aca="false">Series!R12</f>
        <v>55.2</v>
      </c>
      <c r="L15" s="22" t="n">
        <f aca="false">Series!H12</f>
        <v>16.5</v>
      </c>
      <c r="N15" s="15" t="n">
        <f aca="false">INTERCEPT($L$5:$L$30,$D$5:$D$30)+SLOPE($L$5:$L$30,$D$5:$D$30)*D15</f>
        <v>13.9122529644269</v>
      </c>
    </row>
    <row r="16" customFormat="false" ht="15" hidden="false" customHeight="false" outlineLevel="0" collapsed="false">
      <c r="A16" s="4" t="s">
        <v>104</v>
      </c>
      <c r="B16" s="10" t="s">
        <v>101</v>
      </c>
      <c r="C16" s="11" t="n">
        <v>4</v>
      </c>
      <c r="D16" s="11" t="n">
        <v>12</v>
      </c>
      <c r="E16" s="10" t="s">
        <v>152</v>
      </c>
      <c r="F16" s="23" t="n">
        <f aca="false">Series!F13</f>
        <v>10.5</v>
      </c>
      <c r="G16" s="24" t="str">
        <f aca="false">IF(Series!G13="","",Series!G13)</f>
        <v/>
      </c>
      <c r="H16" s="22" t="n">
        <f aca="false">Series!H13</f>
        <v>13.8</v>
      </c>
      <c r="I16" s="22" t="n">
        <f aca="false">Series!K13</f>
        <v>37.1</v>
      </c>
      <c r="J16" s="22" t="n">
        <f aca="false">Series!AH13</f>
        <v>23.7</v>
      </c>
      <c r="K16" s="22" t="n">
        <f aca="false">Series!R13</f>
        <v>61.3</v>
      </c>
      <c r="L16" s="22" t="n">
        <f aca="false">Series!H13</f>
        <v>13.8</v>
      </c>
      <c r="N16" s="15" t="n">
        <f aca="false">INTERCEPT($L$5:$L$30,$D$5:$D$30)+SLOPE($L$5:$L$30,$D$5:$D$30)*D16</f>
        <v>13.9048418972332</v>
      </c>
    </row>
    <row r="17" customFormat="false" ht="15" hidden="false" customHeight="false" outlineLevel="0" collapsed="false">
      <c r="A17" s="4" t="s">
        <v>105</v>
      </c>
      <c r="B17" s="10" t="s">
        <v>106</v>
      </c>
      <c r="C17" s="11" t="n">
        <v>1</v>
      </c>
      <c r="D17" s="11" t="n">
        <v>13</v>
      </c>
      <c r="E17" s="10" t="s">
        <v>152</v>
      </c>
      <c r="F17" s="23" t="n">
        <f aca="false">Series!F14</f>
        <v>11.25</v>
      </c>
      <c r="G17" s="24" t="str">
        <f aca="false">IF(Series!G14="","",Series!G14)</f>
        <v/>
      </c>
      <c r="H17" s="22" t="n">
        <f aca="false">Series!H14</f>
        <v>15.9</v>
      </c>
      <c r="I17" s="22" t="n">
        <f aca="false">Series!K14</f>
        <v>36.8</v>
      </c>
      <c r="J17" s="22" t="n">
        <f aca="false">Series!AH14</f>
        <v>28.9</v>
      </c>
      <c r="K17" s="22" t="n">
        <f aca="false">Series!R14</f>
        <v>57.7</v>
      </c>
      <c r="L17" s="22" t="n">
        <f aca="false">Series!H14</f>
        <v>15.9</v>
      </c>
      <c r="N17" s="15" t="n">
        <f aca="false">INTERCEPT($L$5:$L$30,$D$5:$D$30)+SLOPE($L$5:$L$30,$D$5:$D$30)*D17</f>
        <v>13.8974308300395</v>
      </c>
      <c r="O17" s="15" t="n">
        <f aca="false">INTERCEPT($L$17:$L$30,$D$17:$D$30)+SLOPE($L$17:$L$30,$D$17:$D$30)*D17</f>
        <v>15.7685714285714</v>
      </c>
    </row>
    <row r="18" customFormat="false" ht="15" hidden="false" customHeight="false" outlineLevel="0" collapsed="false">
      <c r="A18" s="4" t="s">
        <v>107</v>
      </c>
      <c r="B18" s="10" t="s">
        <v>106</v>
      </c>
      <c r="C18" s="11" t="n">
        <v>2</v>
      </c>
      <c r="D18" s="11" t="n">
        <v>14</v>
      </c>
      <c r="E18" s="10" t="s">
        <v>152</v>
      </c>
      <c r="F18" s="23" t="n">
        <f aca="false">Series!F15</f>
        <v>11.25</v>
      </c>
      <c r="G18" s="24" t="str">
        <f aca="false">IF(Series!G15="","",Series!G15)</f>
        <v/>
      </c>
      <c r="H18" s="22" t="n">
        <f aca="false">Series!H15</f>
        <v>14.8</v>
      </c>
      <c r="I18" s="22" t="n">
        <f aca="false">Series!K15</f>
        <v>37.4</v>
      </c>
      <c r="J18" s="22" t="n">
        <f aca="false">Series!AH15</f>
        <v>27.6</v>
      </c>
      <c r="K18" s="22" t="n">
        <f aca="false">Series!R15</f>
        <v>57.2</v>
      </c>
      <c r="L18" s="22" t="n">
        <f aca="false">Series!H15</f>
        <v>14.8</v>
      </c>
      <c r="N18" s="15" t="n">
        <f aca="false">INTERCEPT($L$5:$L$30,$D$5:$D$30)+SLOPE($L$5:$L$30,$D$5:$D$30)*D18</f>
        <v>13.8900197628459</v>
      </c>
      <c r="O18" s="15" t="n">
        <f aca="false">INTERCEPT($L$17:$L$30,$D$17:$D$30)+SLOPE($L$17:$L$30,$D$17:$D$30)*D18</f>
        <v>15.5107692307692</v>
      </c>
    </row>
    <row r="19" customFormat="false" ht="15" hidden="false" customHeight="false" outlineLevel="0" collapsed="false">
      <c r="A19" s="4" t="s">
        <v>109</v>
      </c>
      <c r="B19" s="10" t="s">
        <v>106</v>
      </c>
      <c r="C19" s="11" t="n">
        <v>3</v>
      </c>
      <c r="D19" s="11" t="n">
        <v>15</v>
      </c>
      <c r="E19" s="10" t="s">
        <v>152</v>
      </c>
      <c r="F19" s="23" t="n">
        <f aca="false">Series!F16</f>
        <v>11.25</v>
      </c>
      <c r="G19" s="24" t="str">
        <f aca="false">IF(Series!G16="","",Series!G16)</f>
        <v/>
      </c>
      <c r="H19" s="22" t="n">
        <f aca="false">Series!H16</f>
        <v>15.2</v>
      </c>
      <c r="I19" s="22" t="n">
        <f aca="false">Series!K16</f>
        <v>36.3</v>
      </c>
      <c r="J19" s="22" t="n">
        <f aca="false">Series!AH16</f>
        <v>38.9</v>
      </c>
      <c r="K19" s="22" t="n">
        <f aca="false">Series!R16</f>
        <v>59.4</v>
      </c>
      <c r="L19" s="22" t="n">
        <f aca="false">Series!H16</f>
        <v>15.2</v>
      </c>
      <c r="N19" s="15" t="n">
        <f aca="false">INTERCEPT($L$5:$L$30,$D$5:$D$30)+SLOPE($L$5:$L$30,$D$5:$D$30)*D19</f>
        <v>13.8826086956522</v>
      </c>
      <c r="O19" s="15" t="n">
        <f aca="false">INTERCEPT($L$17:$L$30,$D$17:$D$30)+SLOPE($L$17:$L$30,$D$17:$D$30)*D19</f>
        <v>15.252967032967</v>
      </c>
    </row>
    <row r="20" customFormat="false" ht="15" hidden="false" customHeight="false" outlineLevel="0" collapsed="false">
      <c r="A20" s="4" t="s">
        <v>110</v>
      </c>
      <c r="B20" s="10" t="s">
        <v>106</v>
      </c>
      <c r="C20" s="11" t="n">
        <v>4</v>
      </c>
      <c r="D20" s="11" t="n">
        <v>16</v>
      </c>
      <c r="E20" s="10" t="s">
        <v>152</v>
      </c>
      <c r="F20" s="23" t="n">
        <f aca="false">Series!F17</f>
        <v>11.25</v>
      </c>
      <c r="G20" s="24" t="str">
        <f aca="false">IF(Series!G17="","",Series!G17)</f>
        <v/>
      </c>
      <c r="H20" s="22" t="n">
        <f aca="false">Series!H17</f>
        <v>15.6</v>
      </c>
      <c r="I20" s="22" t="n">
        <f aca="false">Series!K17</f>
        <v>40.6</v>
      </c>
      <c r="J20" s="22" t="n">
        <f aca="false">Series!AH17</f>
        <v>28.7</v>
      </c>
      <c r="K20" s="22" t="n">
        <f aca="false">Series!R17</f>
        <v>56.1</v>
      </c>
      <c r="L20" s="22" t="n">
        <f aca="false">Series!H17</f>
        <v>15.6</v>
      </c>
      <c r="N20" s="15" t="n">
        <f aca="false">INTERCEPT($L$5:$L$30,$D$5:$D$30)+SLOPE($L$5:$L$30,$D$5:$D$30)*D20</f>
        <v>13.8751976284585</v>
      </c>
      <c r="O20" s="15" t="n">
        <f aca="false">INTERCEPT($L$17:$L$30,$D$17:$D$30)+SLOPE($L$17:$L$30,$D$17:$D$30)*D20</f>
        <v>14.9951648351648</v>
      </c>
    </row>
    <row r="21" customFormat="false" ht="15" hidden="false" customHeight="false" outlineLevel="0" collapsed="false">
      <c r="A21" s="4" t="s">
        <v>111</v>
      </c>
      <c r="B21" s="10" t="s">
        <v>112</v>
      </c>
      <c r="C21" s="11" t="n">
        <v>1</v>
      </c>
      <c r="D21" s="11" t="n">
        <v>17</v>
      </c>
      <c r="E21" s="10" t="s">
        <v>152</v>
      </c>
      <c r="F21" s="23" t="n">
        <f aca="false">Series!F18</f>
        <v>11</v>
      </c>
      <c r="G21" s="24" t="str">
        <f aca="false">IF(Series!G18="","",Series!G18)</f>
        <v/>
      </c>
      <c r="H21" s="22" t="n">
        <f aca="false">Series!H18</f>
        <v>16.7</v>
      </c>
      <c r="I21" s="22" t="n">
        <f aca="false">Series!K18</f>
        <v>39.5</v>
      </c>
      <c r="J21" s="22" t="n">
        <f aca="false">Series!AH18</f>
        <v>26.8</v>
      </c>
      <c r="K21" s="22" t="n">
        <f aca="false">Series!R18</f>
        <v>56.6</v>
      </c>
      <c r="L21" s="22" t="n">
        <f aca="false">Series!H18</f>
        <v>16.7</v>
      </c>
      <c r="N21" s="15" t="n">
        <f aca="false">INTERCEPT($L$5:$L$30,$D$5:$D$30)+SLOPE($L$5:$L$30,$D$5:$D$30)*D21</f>
        <v>13.8677865612648</v>
      </c>
      <c r="O21" s="15" t="n">
        <f aca="false">INTERCEPT($L$17:$L$30,$D$17:$D$30)+SLOPE($L$17:$L$30,$D$17:$D$30)*D21</f>
        <v>14.7373626373626</v>
      </c>
    </row>
    <row r="22" customFormat="false" ht="15" hidden="false" customHeight="false" outlineLevel="0" collapsed="false">
      <c r="A22" s="4" t="s">
        <v>115</v>
      </c>
      <c r="B22" s="10" t="s">
        <v>112</v>
      </c>
      <c r="C22" s="11" t="n">
        <v>2</v>
      </c>
      <c r="D22" s="11" t="n">
        <v>18</v>
      </c>
      <c r="E22" s="10" t="s">
        <v>152</v>
      </c>
      <c r="F22" s="23" t="n">
        <f aca="false">Series!F19</f>
        <v>11</v>
      </c>
      <c r="G22" s="24" t="str">
        <f aca="false">IF(Series!G19="","",Series!G19)</f>
        <v/>
      </c>
      <c r="H22" s="22" t="n">
        <f aca="false">Series!H19</f>
        <v>12.5</v>
      </c>
      <c r="I22" s="22" t="n">
        <f aca="false">Series!K19</f>
        <v>40.1</v>
      </c>
      <c r="J22" s="22" t="n">
        <f aca="false">Series!AH19</f>
        <v>28</v>
      </c>
      <c r="K22" s="22" t="n">
        <f aca="false">Series!R19</f>
        <v>58.1</v>
      </c>
      <c r="L22" s="22" t="n">
        <f aca="false">Series!H19</f>
        <v>12.5</v>
      </c>
      <c r="N22" s="15" t="n">
        <f aca="false">INTERCEPT($L$5:$L$30,$D$5:$D$30)+SLOPE($L$5:$L$30,$D$5:$D$30)*D22</f>
        <v>13.8603754940711</v>
      </c>
      <c r="O22" s="15" t="n">
        <f aca="false">INTERCEPT($L$17:$L$30,$D$17:$D$30)+SLOPE($L$17:$L$30,$D$17:$D$30)*D22</f>
        <v>14.4795604395604</v>
      </c>
    </row>
    <row r="23" customFormat="false" ht="15" hidden="false" customHeight="false" outlineLevel="0" collapsed="false">
      <c r="A23" s="4" t="s">
        <v>116</v>
      </c>
      <c r="B23" s="10" t="s">
        <v>112</v>
      </c>
      <c r="C23" s="11" t="n">
        <v>3</v>
      </c>
      <c r="D23" s="11" t="n">
        <v>19</v>
      </c>
      <c r="E23" s="10" t="s">
        <v>152</v>
      </c>
      <c r="F23" s="23" t="n">
        <f aca="false">Series!F20</f>
        <v>10.5</v>
      </c>
      <c r="G23" s="24" t="str">
        <f aca="false">IF(Series!G20="","",Series!G20)</f>
        <v/>
      </c>
      <c r="H23" s="22" t="n">
        <f aca="false">Series!H20</f>
        <v>15.2</v>
      </c>
      <c r="I23" s="22" t="n">
        <f aca="false">Series!K20</f>
        <v>39.9</v>
      </c>
      <c r="J23" s="22" t="n">
        <f aca="false">Series!AH20</f>
        <v>41.1</v>
      </c>
      <c r="K23" s="22" t="n">
        <f aca="false">Series!R20</f>
        <v>54.5</v>
      </c>
      <c r="L23" s="22" t="n">
        <f aca="false">Series!H20</f>
        <v>15.2</v>
      </c>
      <c r="N23" s="15" t="n">
        <f aca="false">INTERCEPT($L$5:$L$30,$D$5:$D$30)+SLOPE($L$5:$L$30,$D$5:$D$30)*D23</f>
        <v>13.8529644268775</v>
      </c>
      <c r="O23" s="15" t="n">
        <f aca="false">INTERCEPT($L$17:$L$30,$D$17:$D$30)+SLOPE($L$17:$L$30,$D$17:$D$30)*D23</f>
        <v>14.2217582417582</v>
      </c>
    </row>
    <row r="24" customFormat="false" ht="15" hidden="false" customHeight="false" outlineLevel="0" collapsed="false">
      <c r="A24" s="4" t="s">
        <v>117</v>
      </c>
      <c r="B24" s="10" t="s">
        <v>112</v>
      </c>
      <c r="C24" s="11" t="n">
        <v>4</v>
      </c>
      <c r="D24" s="11" t="n">
        <v>20</v>
      </c>
      <c r="E24" s="10" t="s">
        <v>152</v>
      </c>
      <c r="F24" s="23" t="n">
        <f aca="false">Series!F21</f>
        <v>10</v>
      </c>
      <c r="G24" s="24" t="str">
        <f aca="false">IF(Series!G21="","",Series!G21)</f>
        <v/>
      </c>
      <c r="H24" s="22" t="n">
        <f aca="false">Series!H21</f>
        <v>12.1</v>
      </c>
      <c r="I24" s="22" t="n">
        <f aca="false">Series!K21</f>
        <v>36.3</v>
      </c>
      <c r="J24" s="22" t="n">
        <f aca="false">Series!AH21</f>
        <v>33.7</v>
      </c>
      <c r="K24" s="22" t="n">
        <f aca="false">Series!R21</f>
        <v>55.4</v>
      </c>
      <c r="L24" s="22" t="n">
        <f aca="false">Series!H21</f>
        <v>12.1</v>
      </c>
      <c r="N24" s="15" t="n">
        <f aca="false">INTERCEPT($L$5:$L$30,$D$5:$D$30)+SLOPE($L$5:$L$30,$D$5:$D$30)*D24</f>
        <v>13.8455533596838</v>
      </c>
      <c r="O24" s="15" t="n">
        <f aca="false">INTERCEPT($L$17:$L$30,$D$17:$D$30)+SLOPE($L$17:$L$30,$D$17:$D$30)*D24</f>
        <v>13.963956043956</v>
      </c>
    </row>
    <row r="25" customFormat="false" ht="15" hidden="false" customHeight="false" outlineLevel="0" collapsed="false">
      <c r="A25" s="4" t="s">
        <v>118</v>
      </c>
      <c r="B25" s="10" t="s">
        <v>119</v>
      </c>
      <c r="C25" s="11" t="n">
        <v>1</v>
      </c>
      <c r="D25" s="11" t="n">
        <v>21</v>
      </c>
      <c r="E25" s="10" t="s">
        <v>152</v>
      </c>
      <c r="F25" s="23" t="n">
        <f aca="false">Series!F22</f>
        <v>9</v>
      </c>
      <c r="G25" s="24" t="str">
        <f aca="false">IF(Series!G22="","",Series!G22)</f>
        <v/>
      </c>
      <c r="H25" s="22" t="n">
        <f aca="false">Series!H22</f>
        <v>13.3</v>
      </c>
      <c r="I25" s="22" t="n">
        <f aca="false">Series!K22</f>
        <v>37.4</v>
      </c>
      <c r="J25" s="22" t="n">
        <f aca="false">Series!AH22</f>
        <v>39.3</v>
      </c>
      <c r="K25" s="22" t="n">
        <f aca="false">Series!R22</f>
        <v>55.6</v>
      </c>
      <c r="L25" s="22" t="n">
        <f aca="false">Series!H22</f>
        <v>13.3</v>
      </c>
      <c r="N25" s="15" t="n">
        <f aca="false">INTERCEPT($L$5:$L$30,$D$5:$D$30)+SLOPE($L$5:$L$30,$D$5:$D$30)*D25</f>
        <v>13.8381422924901</v>
      </c>
      <c r="O25" s="15" t="n">
        <f aca="false">INTERCEPT($L$17:$L$30,$D$17:$D$30)+SLOPE($L$17:$L$30,$D$17:$D$30)*D25</f>
        <v>13.7061538461538</v>
      </c>
    </row>
    <row r="26" customFormat="false" ht="15" hidden="false" customHeight="false" outlineLevel="0" collapsed="false">
      <c r="A26" s="4" t="s">
        <v>120</v>
      </c>
      <c r="B26" s="10" t="s">
        <v>119</v>
      </c>
      <c r="C26" s="11" t="n">
        <v>2</v>
      </c>
      <c r="D26" s="11" t="n">
        <v>22</v>
      </c>
      <c r="E26" s="10" t="s">
        <v>152</v>
      </c>
      <c r="F26" s="23" t="n">
        <f aca="false">Series!F23</f>
        <v>8</v>
      </c>
      <c r="G26" s="24" t="str">
        <f aca="false">IF(Series!G23="","",Series!G23)</f>
        <v/>
      </c>
      <c r="H26" s="22" t="n">
        <f aca="false">Series!H23</f>
        <v>14.9</v>
      </c>
      <c r="I26" s="22" t="n">
        <f aca="false">Series!K23</f>
        <v>35.8</v>
      </c>
      <c r="J26" s="22" t="n">
        <f aca="false">Series!AH23</f>
        <v>46.7</v>
      </c>
      <c r="K26" s="22" t="n">
        <f aca="false">Series!R23</f>
        <v>56.5</v>
      </c>
      <c r="L26" s="22" t="n">
        <f aca="false">Series!H23</f>
        <v>14.9</v>
      </c>
      <c r="N26" s="15" t="n">
        <f aca="false">INTERCEPT($L$5:$L$30,$D$5:$D$30)+SLOPE($L$5:$L$30,$D$5:$D$30)*D26</f>
        <v>13.8307312252964</v>
      </c>
      <c r="O26" s="15" t="n">
        <f aca="false">INTERCEPT($L$17:$L$30,$D$17:$D$30)+SLOPE($L$17:$L$30,$D$17:$D$30)*D26</f>
        <v>13.4483516483516</v>
      </c>
    </row>
    <row r="27" customFormat="false" ht="15" hidden="false" customHeight="false" outlineLevel="0" collapsed="false">
      <c r="A27" s="4" t="s">
        <v>121</v>
      </c>
      <c r="B27" s="10" t="s">
        <v>119</v>
      </c>
      <c r="C27" s="11" t="n">
        <v>3</v>
      </c>
      <c r="D27" s="11" t="n">
        <v>23</v>
      </c>
      <c r="E27" s="10" t="s">
        <v>152</v>
      </c>
      <c r="F27" s="23" t="n">
        <f aca="false">Series!F24</f>
        <v>7.5</v>
      </c>
      <c r="G27" s="24" t="str">
        <f aca="false">IF(Series!G24="","",Series!G24)</f>
        <v/>
      </c>
      <c r="H27" s="22" t="n">
        <f aca="false">Series!H24</f>
        <v>11.5</v>
      </c>
      <c r="I27" s="22" t="n">
        <f aca="false">Series!K24</f>
        <v>37.6</v>
      </c>
      <c r="J27" s="22" t="n">
        <f aca="false">Series!AH24</f>
        <v>49</v>
      </c>
      <c r="K27" s="22" t="n">
        <f aca="false">Series!R24</f>
        <v>56.3</v>
      </c>
      <c r="L27" s="22" t="n">
        <f aca="false">Series!H24</f>
        <v>11.5</v>
      </c>
      <c r="N27" s="15" t="n">
        <f aca="false">INTERCEPT($L$5:$L$30,$D$5:$D$30)+SLOPE($L$5:$L$30,$D$5:$D$30)*D27</f>
        <v>13.8233201581028</v>
      </c>
      <c r="O27" s="15" t="n">
        <f aca="false">INTERCEPT($L$17:$L$30,$D$17:$D$30)+SLOPE($L$17:$L$30,$D$17:$D$30)*D27</f>
        <v>13.1905494505495</v>
      </c>
    </row>
    <row r="28" customFormat="false" ht="15" hidden="false" customHeight="false" outlineLevel="0" collapsed="false">
      <c r="A28" s="4" t="s">
        <v>122</v>
      </c>
      <c r="B28" s="10" t="s">
        <v>119</v>
      </c>
      <c r="C28" s="11" t="n">
        <v>4</v>
      </c>
      <c r="D28" s="11" t="n">
        <v>24</v>
      </c>
      <c r="E28" s="10" t="s">
        <v>152</v>
      </c>
      <c r="F28" s="23" t="n">
        <f aca="false">Series!F25</f>
        <v>7</v>
      </c>
      <c r="G28" s="24" t="str">
        <f aca="false">IF(Series!G25="","",Series!G25)</f>
        <v/>
      </c>
      <c r="H28" s="22" t="n">
        <f aca="false">Series!H25</f>
        <v>15.3</v>
      </c>
      <c r="I28" s="22" t="n">
        <f aca="false">Series!K25</f>
        <v>38.4</v>
      </c>
      <c r="J28" s="22" t="n">
        <f aca="false">Series!AH25</f>
        <v>47.6</v>
      </c>
      <c r="K28" s="22" t="n">
        <f aca="false">Series!R25</f>
        <v>50.8</v>
      </c>
      <c r="L28" s="22" t="n">
        <f aca="false">Series!H25</f>
        <v>15.3</v>
      </c>
      <c r="N28" s="15" t="n">
        <f aca="false">INTERCEPT($L$5:$L$30,$D$5:$D$30)+SLOPE($L$5:$L$30,$D$5:$D$30)*D28</f>
        <v>13.8159090909091</v>
      </c>
      <c r="O28" s="15" t="n">
        <f aca="false">INTERCEPT($L$17:$L$30,$D$17:$D$30)+SLOPE($L$17:$L$30,$D$17:$D$30)*D28</f>
        <v>12.9327472527473</v>
      </c>
    </row>
    <row r="29" customFormat="false" ht="15" hidden="false" customHeight="false" outlineLevel="0" collapsed="false">
      <c r="A29" s="4" t="s">
        <v>123</v>
      </c>
      <c r="B29" s="10" t="s">
        <v>124</v>
      </c>
      <c r="C29" s="11" t="n">
        <v>1</v>
      </c>
      <c r="D29" s="11" t="n">
        <v>25</v>
      </c>
      <c r="E29" s="10" t="s">
        <v>152</v>
      </c>
      <c r="F29" s="23" t="n">
        <f aca="false">Series!F26</f>
        <v>6.75</v>
      </c>
      <c r="G29" s="24" t="str">
        <f aca="false">IF(Series!G26="","",Series!G26)</f>
        <v/>
      </c>
      <c r="H29" s="22" t="n">
        <f aca="false">Series!H26</f>
        <v>13.1</v>
      </c>
      <c r="I29" s="22" t="n">
        <f aca="false">Series!K26</f>
        <v>37</v>
      </c>
      <c r="J29" s="22" t="n">
        <f aca="false">Series!AH26</f>
        <v>44.9</v>
      </c>
      <c r="K29" s="22" t="n">
        <f aca="false">Series!R26</f>
        <v>56.1</v>
      </c>
      <c r="L29" s="22" t="n">
        <f aca="false">Series!H26</f>
        <v>13.1</v>
      </c>
      <c r="N29" s="15" t="n">
        <f aca="false">INTERCEPT($L$5:$L$30,$D$5:$D$30)+SLOPE($L$5:$L$30,$D$5:$D$30)*D29</f>
        <v>13.8084980237154</v>
      </c>
      <c r="O29" s="15" t="n">
        <f aca="false">INTERCEPT($L$17:$L$30,$D$17:$D$30)+SLOPE($L$17:$L$30,$D$17:$D$30)*D29</f>
        <v>12.6749450549451</v>
      </c>
    </row>
    <row r="30" customFormat="false" ht="15" hidden="false" customHeight="false" outlineLevel="0" collapsed="false">
      <c r="A30" s="4" t="s">
        <v>126</v>
      </c>
      <c r="B30" s="10" t="s">
        <v>124</v>
      </c>
      <c r="C30" s="11" t="n">
        <v>2</v>
      </c>
      <c r="D30" s="11" t="n">
        <v>26</v>
      </c>
      <c r="E30" s="10" t="s">
        <v>152</v>
      </c>
      <c r="F30" s="23" t="n">
        <f aca="false">Series!F27</f>
        <v>6.5</v>
      </c>
      <c r="G30" s="24" t="str">
        <f aca="false">IF(Series!G27="","",Series!G27)</f>
        <v/>
      </c>
      <c r="H30" s="22" t="n">
        <f aca="false">Series!H27</f>
        <v>11.2</v>
      </c>
      <c r="I30" s="22" t="n">
        <f aca="false">Series!K27</f>
        <v>37.3</v>
      </c>
      <c r="J30" s="22" t="n">
        <f aca="false">Series!AH27</f>
        <v>39.4</v>
      </c>
      <c r="K30" s="22" t="n">
        <f aca="false">Series!R27</f>
        <v>50.9</v>
      </c>
      <c r="L30" s="22" t="n">
        <f aca="false">Series!H27</f>
        <v>11.2</v>
      </c>
      <c r="N30" s="15" t="n">
        <f aca="false">INTERCEPT($L$5:$L$30,$D$5:$D$30)+SLOPE($L$5:$L$30,$D$5:$D$30)*D30</f>
        <v>13.8010869565217</v>
      </c>
      <c r="O30" s="15" t="n">
        <f aca="false">INTERCEPT($L$17:$L$30,$D$17:$D$30)+SLOPE($L$17:$L$30,$D$17:$D$30)*D30</f>
        <v>12.4171428571429</v>
      </c>
    </row>
    <row r="31" customFormat="false" ht="15" hidden="false" customHeight="false" outlineLevel="0" collapsed="false">
      <c r="A31" s="4" t="s">
        <v>128</v>
      </c>
      <c r="B31" s="10" t="s">
        <v>124</v>
      </c>
      <c r="C31" s="11" t="n">
        <v>3</v>
      </c>
      <c r="D31" s="11" t="n">
        <v>27</v>
      </c>
      <c r="E31" s="10" t="s">
        <v>152</v>
      </c>
      <c r="F31" s="23" t="n">
        <f aca="false">Series!F28</f>
        <v>6.5</v>
      </c>
      <c r="G31" s="24" t="str">
        <f aca="false">IF(Series!G28="","",Series!G28)</f>
        <v/>
      </c>
      <c r="H31" s="16"/>
      <c r="I31" s="16"/>
      <c r="J31" s="16"/>
      <c r="K31" s="16"/>
    </row>
    <row r="33" customFormat="false" ht="15" hidden="false" customHeight="false" outlineLevel="0" collapsed="false">
      <c r="A33" s="19" t="s">
        <v>153</v>
      </c>
    </row>
    <row r="34" customFormat="false" ht="15" hidden="false" customHeight="false" outlineLevel="0" collapsed="false">
      <c r="A34" s="19" t="s">
        <v>154</v>
      </c>
    </row>
    <row r="36" customFormat="false" ht="15" hidden="false" customHeight="false" outlineLevel="0" collapsed="false">
      <c r="M36" s="4" t="s">
        <v>155</v>
      </c>
      <c r="N36" s="4" t="s">
        <v>156</v>
      </c>
      <c r="O36" s="4" t="s">
        <v>157</v>
      </c>
    </row>
    <row r="37" customFormat="false" ht="15" hidden="false" customHeight="false" outlineLevel="0" collapsed="false">
      <c r="M37" s="4" t="s">
        <v>158</v>
      </c>
      <c r="N37" s="25" t="n">
        <f aca="false">SLOPE($L$5:$L$30,$D$5:$D$30)</f>
        <v>-0.00741106719367589</v>
      </c>
      <c r="O37" s="25" t="n">
        <f aca="false">SLOPE($L$17:$L$30,$D$17:$D$30)</f>
        <v>-0.257802197802198</v>
      </c>
    </row>
    <row r="38" customFormat="false" ht="15" hidden="false" customHeight="false" outlineLevel="0" collapsed="false">
      <c r="M38" s="4" t="s">
        <v>159</v>
      </c>
      <c r="N38" s="25" t="n">
        <f aca="false">N37*4</f>
        <v>-0.0296442687747036</v>
      </c>
      <c r="O38" s="25" t="n">
        <f aca="false">O37*4</f>
        <v>-1.03120879120879</v>
      </c>
    </row>
    <row r="57" customFormat="false" ht="15" hidden="false" customHeight="false" outlineLevel="0" collapsed="false">
      <c r="A57" s="21" t="s">
        <v>160</v>
      </c>
    </row>
    <row r="76" customFormat="false" ht="15" hidden="false" customHeight="false" outlineLevel="0" collapsed="false">
      <c r="A76" s="21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8" min="6" style="0" width="11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6" min="15" style="0" width="11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14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78" hidden="false" customHeight="true" outlineLevel="0" collapsed="false">
      <c r="A4" s="9" t="s">
        <v>48</v>
      </c>
      <c r="B4" s="9" t="s">
        <v>164</v>
      </c>
      <c r="C4" s="9" t="s">
        <v>165</v>
      </c>
      <c r="D4" s="9" t="s">
        <v>166</v>
      </c>
      <c r="E4" s="9" t="s">
        <v>167</v>
      </c>
      <c r="F4" s="9" t="s">
        <v>168</v>
      </c>
      <c r="G4" s="9" t="s">
        <v>58</v>
      </c>
      <c r="H4" s="9" t="s">
        <v>59</v>
      </c>
      <c r="I4" s="9" t="s">
        <v>169</v>
      </c>
      <c r="J4" s="9" t="s">
        <v>61</v>
      </c>
      <c r="K4" s="9" t="s">
        <v>62</v>
      </c>
      <c r="L4" s="9" t="s">
        <v>170</v>
      </c>
      <c r="M4" s="9" t="s">
        <v>64</v>
      </c>
      <c r="N4" s="9" t="s">
        <v>66</v>
      </c>
      <c r="O4" s="9" t="s">
        <v>68</v>
      </c>
      <c r="P4" s="9" t="s">
        <v>80</v>
      </c>
      <c r="Q4" s="9" t="s">
        <v>171</v>
      </c>
      <c r="R4" s="9" t="s">
        <v>138</v>
      </c>
      <c r="S4" s="9" t="s">
        <v>172</v>
      </c>
      <c r="T4" s="9" t="s">
        <v>173</v>
      </c>
    </row>
    <row r="5" customFormat="false" ht="15" hidden="false" customHeight="false" outlineLevel="0" collapsed="false">
      <c r="A5" s="4" t="s">
        <v>92</v>
      </c>
      <c r="B5" s="10" t="s">
        <v>174</v>
      </c>
      <c r="C5" s="11" t="n">
        <f aca="false">COUNT('Muestra anterior'!B5:B8)</f>
        <v>4</v>
      </c>
      <c r="D5" s="22" t="n">
        <f aca="false">'Muestra anterior'!B18</f>
        <v>20.4</v>
      </c>
      <c r="E5" s="22" t="n">
        <f aca="false">'Muestra anterior'!B8</f>
        <v>16.8</v>
      </c>
      <c r="F5" s="22" t="n">
        <f aca="false">'Muestra anterior'!E18</f>
        <v>46.475</v>
      </c>
      <c r="G5" s="26" t="s">
        <v>175</v>
      </c>
      <c r="H5" s="26" t="s">
        <v>175</v>
      </c>
      <c r="I5" s="26" t="s">
        <v>175</v>
      </c>
      <c r="J5" s="26" t="s">
        <v>175</v>
      </c>
      <c r="K5" s="26" t="s">
        <v>175</v>
      </c>
      <c r="L5" s="26" t="s">
        <v>175</v>
      </c>
      <c r="M5" s="22" t="n">
        <f aca="false">'Muestra anterior'!I18</f>
        <v>50.325</v>
      </c>
      <c r="N5" s="26" t="s">
        <v>175</v>
      </c>
      <c r="O5" s="26" t="s">
        <v>175</v>
      </c>
      <c r="P5" s="22" t="n">
        <f aca="false">'Muestra anterior'!H18</f>
        <v>48.875</v>
      </c>
      <c r="Q5" s="26" t="s">
        <v>175</v>
      </c>
      <c r="R5" s="23" t="n">
        <f aca="false">AVERAGEIFS('Serie completa 2020-2026'!$F$5:$F$31,'Serie completa 2020-2026'!$B$5:$B$31,A5)</f>
        <v>5</v>
      </c>
      <c r="S5" s="23" t="str">
        <f aca="false">IFERROR(AVERAGEIFS('Serie completa 2020-2026'!$G$5:$G$31,'Serie completa 2020-2026'!$B$5:$B$31,A5),"pend.")</f>
        <v>pend.</v>
      </c>
      <c r="T5" s="10" t="s">
        <v>176</v>
      </c>
    </row>
    <row r="6" customFormat="false" ht="15" hidden="false" customHeight="false" outlineLevel="0" collapsed="false">
      <c r="A6" s="4" t="s">
        <v>92</v>
      </c>
      <c r="B6" s="10" t="s">
        <v>177</v>
      </c>
      <c r="C6" s="11" t="n">
        <f aca="false">COUNTIFS(Series!$B$5:$B$28,$A6,Series!$H$5:$H$28,"&lt;&gt;")</f>
        <v>1</v>
      </c>
      <c r="D6" s="15" t="n">
        <f aca="false">IFERROR(ROUND(AVERAGEIFS(Series!$H$5:$H$28,Series!$B$5:$B$28,$A6),3),"n.d.")</f>
        <v>13.6</v>
      </c>
      <c r="E6" s="15" t="n">
        <f aca="false">IFERROR(INDEX(Series!$H$5:$H$28,MATCH("IV-"&amp;RIGHT($A6,2),Series!$A$5:$A$28,0)),"n.d.")</f>
        <v>13.6</v>
      </c>
      <c r="F6" s="15" t="n">
        <f aca="false">IFERROR(ROUND(AVERAGEIFS(Series!$K$5:$K$28,Series!$B$5:$B$28,$A6),3),"n.d.")</f>
        <v>39.7</v>
      </c>
      <c r="G6" s="15" t="n">
        <f aca="false">IFERROR(ROUND(AVERAGEIFS(Series!$L$5:$L$28,Series!$B$5:$B$28,$A6),3),"n.d.")</f>
        <v>38.7</v>
      </c>
      <c r="H6" s="15" t="n">
        <f aca="false">IFERROR(ROUND(AVERAGEIFS(Series!$M$5:$M$28,Series!$B$5:$B$28,$A6),3),"n.d.")</f>
        <v>46.9</v>
      </c>
      <c r="I6" s="15" t="n">
        <f aca="false">IFERROR(ROUND(AVERAGEIFS(Series!$N$5:$N$28,Series!$B$5:$B$28,$A6),3),"n.d.")</f>
        <v>8.2</v>
      </c>
      <c r="J6" s="15" t="str">
        <f aca="false">IFERROR(ROUND(AVERAGEIFS(Series!$O$5:$O$28,Series!$B$5:$B$28,$A6),3),"n.d.")</f>
        <v>n.d.</v>
      </c>
      <c r="K6" s="15" t="str">
        <f aca="false">IFERROR(ROUND(AVERAGEIFS(Series!$P$5:$P$28,Series!$B$5:$B$28,$A6),3),"n.d.")</f>
        <v>n.d.</v>
      </c>
      <c r="L6" s="15" t="str">
        <f aca="false">IFERROR(ROUND(AVERAGEIFS(Series!$Q$5:$Q$28,Series!$B$5:$B$28,$A6),3),"n.d.")</f>
        <v>n.d.</v>
      </c>
      <c r="M6" s="15" t="n">
        <f aca="false">IFERROR(ROUND(AVERAGEIFS(Series!$R$5:$R$28,Series!$B$5:$B$28,$A6),3),"n.d.")</f>
        <v>47.3</v>
      </c>
      <c r="N6" s="15" t="n">
        <f aca="false">IFERROR(ROUND(AVERAGEIFS(Series!$T$5:$T$28,Series!$B$5:$B$28,$A6),3),"n.d.")</f>
        <v>18.7</v>
      </c>
      <c r="O6" s="15" t="str">
        <f aca="false">IFERROR(ROUND(AVERAGEIFS(Series!$V$5:$V$28,Series!$B$5:$B$28,$A6),3),"n.d.")</f>
        <v>n.d.</v>
      </c>
      <c r="P6" s="15" t="str">
        <f aca="false">IFERROR(ROUND(AVERAGEIFS(Series!$AH$5:$AH$28,Series!$B$5:$B$28,$A6),3),"n.d.")</f>
        <v>n.d.</v>
      </c>
      <c r="Q6" s="17" t="str">
        <f aca="false">IFERROR(ROUND(AVERAGEIFS(Series!$AE$5:$AE$28,Series!$B$5:$B$28,$A6),5),"n.d.")</f>
        <v>n.d.</v>
      </c>
      <c r="R6" s="25" t="n">
        <f aca="false">IFERROR(AVERAGEIFS(Series!$F$5:$F$28,Series!$B$5:$B$28,$A6),"n.d.")</f>
        <v>4.25</v>
      </c>
      <c r="S6" s="27" t="str">
        <f aca="false">IFERROR(AVERAGEIFS(Series!$G$5:$G$28,Series!$B$5:$B$28,$A6),"pend.")</f>
        <v>pend.</v>
      </c>
      <c r="T6" s="10" t="s">
        <v>178</v>
      </c>
    </row>
    <row r="7" customFormat="false" ht="15" hidden="false" customHeight="false" outlineLevel="0" collapsed="false">
      <c r="A7" s="4" t="s">
        <v>95</v>
      </c>
      <c r="B7" s="10" t="s">
        <v>179</v>
      </c>
      <c r="C7" s="11" t="n">
        <f aca="false">COUNTIFS(Series!$B$5:$B$28,$A7,Series!$H$5:$H$28,"&lt;&gt;")</f>
        <v>4</v>
      </c>
      <c r="D7" s="15" t="n">
        <f aca="false">IFERROR(ROUND(AVERAGEIFS(Series!$H$5:$H$28,Series!$B$5:$B$28,$A7),3),"n.d.")</f>
        <v>11.75</v>
      </c>
      <c r="E7" s="15" t="n">
        <f aca="false">IFERROR(INDEX(Series!$H$5:$H$28,MATCH("IV-"&amp;RIGHT($A7,2),Series!$A$5:$A$28,0)),"n.d.")</f>
        <v>9</v>
      </c>
      <c r="F7" s="15" t="n">
        <f aca="false">IFERROR(ROUND(AVERAGEIFS(Series!$K$5:$K$28,Series!$B$5:$B$28,$A7),3),"n.d.")</f>
        <v>37.675</v>
      </c>
      <c r="G7" s="15" t="n">
        <f aca="false">IFERROR(ROUND(AVERAGEIFS(Series!$L$5:$L$28,Series!$B$5:$B$28,$A7),3),"n.d.")</f>
        <v>35.85</v>
      </c>
      <c r="H7" s="15" t="n">
        <f aca="false">IFERROR(ROUND(AVERAGEIFS(Series!$M$5:$M$28,Series!$B$5:$B$28,$A7),3),"n.d.")</f>
        <v>51.75</v>
      </c>
      <c r="I7" s="15" t="n">
        <f aca="false">IFERROR(ROUND(AVERAGEIFS(Series!$N$5:$N$28,Series!$B$5:$B$28,$A7),3),"n.d.")</f>
        <v>15.9</v>
      </c>
      <c r="J7" s="15" t="str">
        <f aca="false">IFERROR(ROUND(AVERAGEIFS(Series!$O$5:$O$28,Series!$B$5:$B$28,$A7),3),"n.d.")</f>
        <v>n.d.</v>
      </c>
      <c r="K7" s="15" t="str">
        <f aca="false">IFERROR(ROUND(AVERAGEIFS(Series!$P$5:$P$28,Series!$B$5:$B$28,$A7),3),"n.d.")</f>
        <v>n.d.</v>
      </c>
      <c r="L7" s="15" t="str">
        <f aca="false">IFERROR(ROUND(AVERAGEIFS(Series!$Q$5:$Q$28,Series!$B$5:$B$28,$A7),3),"n.d.")</f>
        <v>n.d.</v>
      </c>
      <c r="M7" s="15" t="n">
        <f aca="false">IFERROR(ROUND(AVERAGEIFS(Series!$R$5:$R$28,Series!$B$5:$B$28,$A7),3),"n.d.")</f>
        <v>52.975</v>
      </c>
      <c r="N7" s="15" t="n">
        <f aca="false">IFERROR(ROUND(AVERAGEIFS(Series!$T$5:$T$28,Series!$B$5:$B$28,$A7),3),"n.d.")</f>
        <v>18.75</v>
      </c>
      <c r="O7" s="15" t="str">
        <f aca="false">IFERROR(ROUND(AVERAGEIFS(Series!$V$5:$V$28,Series!$B$5:$B$28,$A7),3),"n.d.")</f>
        <v>n.d.</v>
      </c>
      <c r="P7" s="15" t="str">
        <f aca="false">IFERROR(ROUND(AVERAGEIFS(Series!$AH$5:$AH$28,Series!$B$5:$B$28,$A7),3),"n.d.")</f>
        <v>n.d.</v>
      </c>
      <c r="Q7" s="17" t="str">
        <f aca="false">IFERROR(ROUND(AVERAGEIFS(Series!$AE$5:$AE$28,Series!$B$5:$B$28,$A7),5),"n.d.")</f>
        <v>n.d.</v>
      </c>
      <c r="R7" s="25" t="n">
        <f aca="false">IFERROR(AVERAGEIFS(Series!$F$5:$F$28,Series!$B$5:$B$28,$A7),"n.d.")</f>
        <v>4.625</v>
      </c>
      <c r="S7" s="27" t="str">
        <f aca="false">IFERROR(AVERAGEIFS(Series!$G$5:$G$28,Series!$B$5:$B$28,$A7),"pend.")</f>
        <v>pend.</v>
      </c>
      <c r="T7" s="10" t="s">
        <v>95</v>
      </c>
    </row>
    <row r="8" customFormat="false" ht="15" hidden="false" customHeight="false" outlineLevel="0" collapsed="false">
      <c r="A8" s="4" t="s">
        <v>101</v>
      </c>
      <c r="B8" s="10" t="s">
        <v>179</v>
      </c>
      <c r="C8" s="11" t="n">
        <f aca="false">COUNTIFS(Series!$B$5:$B$28,$A8,Series!$H$5:$H$28,"&lt;&gt;")</f>
        <v>4</v>
      </c>
      <c r="D8" s="15" t="n">
        <f aca="false">IFERROR(ROUND(AVERAGEIFS(Series!$H$5:$H$28,Series!$B$5:$B$28,$A8),3),"n.d.")</f>
        <v>15.35</v>
      </c>
      <c r="E8" s="15" t="n">
        <f aca="false">IFERROR(INDEX(Series!$H$5:$H$28,MATCH("IV-"&amp;RIGHT($A8,2),Series!$A$5:$A$28,0)),"n.d.")</f>
        <v>13.8</v>
      </c>
      <c r="F8" s="15" t="n">
        <f aca="false">IFERROR(ROUND(AVERAGEIFS(Series!$K$5:$K$28,Series!$B$5:$B$28,$A8),3),"n.d.")</f>
        <v>39.275</v>
      </c>
      <c r="G8" s="15" t="n">
        <f aca="false">IFERROR(ROUND(AVERAGEIFS(Series!$L$5:$L$28,Series!$B$5:$B$28,$A8),3),"n.d.")</f>
        <v>38.425</v>
      </c>
      <c r="H8" s="15" t="n">
        <f aca="false">IFERROR(ROUND(AVERAGEIFS(Series!$M$5:$M$28,Series!$B$5:$B$28,$A8),3),"n.d.")</f>
        <v>45.9</v>
      </c>
      <c r="I8" s="15" t="n">
        <f aca="false">IFERROR(ROUND(AVERAGEIFS(Series!$N$5:$N$28,Series!$B$5:$B$28,$A8),3),"n.d.")</f>
        <v>7.475</v>
      </c>
      <c r="J8" s="15" t="n">
        <f aca="false">IFERROR(ROUND(AVERAGEIFS(Series!$O$5:$O$28,Series!$B$5:$B$28,$A8),3),"n.d.")</f>
        <v>13</v>
      </c>
      <c r="K8" s="15" t="n">
        <f aca="false">IFERROR(ROUND(AVERAGEIFS(Series!$P$5:$P$28,Series!$B$5:$B$28,$A8),3),"n.d.")</f>
        <v>20.5</v>
      </c>
      <c r="L8" s="15" t="n">
        <f aca="false">IFERROR(ROUND(AVERAGEIFS(Series!$Q$5:$Q$28,Series!$B$5:$B$28,$A8),3),"n.d.")</f>
        <v>7.5</v>
      </c>
      <c r="M8" s="15" t="n">
        <f aca="false">IFERROR(ROUND(AVERAGEIFS(Series!$R$5:$R$28,Series!$B$5:$B$28,$A8),3),"n.d.")</f>
        <v>54.325</v>
      </c>
      <c r="N8" s="15" t="n">
        <f aca="false">IFERROR(ROUND(AVERAGEIFS(Series!$T$5:$T$28,Series!$B$5:$B$28,$A8),3),"n.d.")</f>
        <v>19.2</v>
      </c>
      <c r="O8" s="15" t="n">
        <f aca="false">IFERROR(ROUND(AVERAGEIFS(Series!$V$5:$V$28,Series!$B$5:$B$28,$A8),3),"n.d.")</f>
        <v>28.55</v>
      </c>
      <c r="P8" s="15" t="n">
        <f aca="false">IFERROR(ROUND(AVERAGEIFS(Series!$AH$5:$AH$28,Series!$B$5:$B$28,$A8),3),"n.d.")</f>
        <v>23.75</v>
      </c>
      <c r="Q8" s="17" t="n">
        <f aca="false">IFERROR(ROUND(AVERAGEIFS(Series!$AE$5:$AE$28,Series!$B$5:$B$28,$A8),5),"n.d.")</f>
        <v>0.14026</v>
      </c>
      <c r="R8" s="25" t="n">
        <f aca="false">IFERROR(AVERAGEIFS(Series!$F$5:$F$28,Series!$B$5:$B$28,$A8),"n.d.")</f>
        <v>8.5</v>
      </c>
      <c r="S8" s="27" t="str">
        <f aca="false">IFERROR(AVERAGEIFS(Series!$G$5:$G$28,Series!$B$5:$B$28,$A8),"pend.")</f>
        <v>pend.</v>
      </c>
      <c r="T8" s="10" t="s">
        <v>101</v>
      </c>
    </row>
    <row r="9" customFormat="false" ht="15" hidden="false" customHeight="false" outlineLevel="0" collapsed="false">
      <c r="A9" s="4" t="s">
        <v>106</v>
      </c>
      <c r="B9" s="10" t="s">
        <v>179</v>
      </c>
      <c r="C9" s="11" t="n">
        <f aca="false">COUNTIFS(Series!$B$5:$B$28,$A9,Series!$H$5:$H$28,"&lt;&gt;")</f>
        <v>4</v>
      </c>
      <c r="D9" s="15" t="n">
        <f aca="false">IFERROR(ROUND(AVERAGEIFS(Series!$H$5:$H$28,Series!$B$5:$B$28,$A9),3),"n.d.")</f>
        <v>15.375</v>
      </c>
      <c r="E9" s="15" t="n">
        <f aca="false">IFERROR(INDEX(Series!$H$5:$H$28,MATCH("IV-"&amp;RIGHT($A9,2),Series!$A$5:$A$28,0)),"n.d.")</f>
        <v>15.6</v>
      </c>
      <c r="F9" s="15" t="n">
        <f aca="false">IFERROR(ROUND(AVERAGEIFS(Series!$K$5:$K$28,Series!$B$5:$B$28,$A9),3),"n.d.")</f>
        <v>37.775</v>
      </c>
      <c r="G9" s="15" t="n">
        <f aca="false">IFERROR(ROUND(AVERAGEIFS(Series!$L$5:$L$28,Series!$B$5:$B$28,$A9),3),"n.d.")</f>
        <v>36.975</v>
      </c>
      <c r="H9" s="15" t="n">
        <f aca="false">IFERROR(ROUND(AVERAGEIFS(Series!$M$5:$M$28,Series!$B$5:$B$28,$A9),3),"n.d.")</f>
        <v>43.725</v>
      </c>
      <c r="I9" s="15" t="n">
        <f aca="false">IFERROR(ROUND(AVERAGEIFS(Series!$N$5:$N$28,Series!$B$5:$B$28,$A9),3),"n.d.")</f>
        <v>6.75</v>
      </c>
      <c r="J9" s="15" t="n">
        <f aca="false">IFERROR(ROUND(AVERAGEIFS(Series!$O$5:$O$28,Series!$B$5:$B$28,$A9),3),"n.d.")</f>
        <v>14.65</v>
      </c>
      <c r="K9" s="15" t="n">
        <f aca="false">IFERROR(ROUND(AVERAGEIFS(Series!$P$5:$P$28,Series!$B$5:$B$28,$A9),3),"n.d.")</f>
        <v>20.1</v>
      </c>
      <c r="L9" s="15" t="n">
        <f aca="false">IFERROR(ROUND(AVERAGEIFS(Series!$Q$5:$Q$28,Series!$B$5:$B$28,$A9),3),"n.d.")</f>
        <v>5.45</v>
      </c>
      <c r="M9" s="15" t="n">
        <f aca="false">IFERROR(ROUND(AVERAGEIFS(Series!$R$5:$R$28,Series!$B$5:$B$28,$A9),3),"n.d.")</f>
        <v>57.6</v>
      </c>
      <c r="N9" s="15" t="n">
        <f aca="false">IFERROR(ROUND(AVERAGEIFS(Series!$T$5:$T$28,Series!$B$5:$B$28,$A9),3),"n.d.")</f>
        <v>16.75</v>
      </c>
      <c r="O9" s="15" t="n">
        <f aca="false">IFERROR(ROUND(AVERAGEIFS(Series!$V$5:$V$28,Series!$B$5:$B$28,$A9),3),"n.d.")</f>
        <v>29.25</v>
      </c>
      <c r="P9" s="15" t="n">
        <f aca="false">IFERROR(ROUND(AVERAGEIFS(Series!$AH$5:$AH$28,Series!$B$5:$B$28,$A9),3),"n.d.")</f>
        <v>31.025</v>
      </c>
      <c r="Q9" s="17" t="n">
        <f aca="false">IFERROR(ROUND(AVERAGEIFS(Series!$AE$5:$AE$28,Series!$B$5:$B$28,$A9),5),"n.d.")</f>
        <v>0.07243</v>
      </c>
      <c r="R9" s="25" t="n">
        <f aca="false">IFERROR(AVERAGEIFS(Series!$F$5:$F$28,Series!$B$5:$B$28,$A9),"n.d.")</f>
        <v>11.25</v>
      </c>
      <c r="S9" s="27" t="str">
        <f aca="false">IFERROR(AVERAGEIFS(Series!$G$5:$G$28,Series!$B$5:$B$28,$A9),"pend.")</f>
        <v>pend.</v>
      </c>
      <c r="T9" s="10" t="s">
        <v>106</v>
      </c>
    </row>
    <row r="10" customFormat="false" ht="15" hidden="false" customHeight="false" outlineLevel="0" collapsed="false">
      <c r="A10" s="4" t="s">
        <v>112</v>
      </c>
      <c r="B10" s="10" t="s">
        <v>179</v>
      </c>
      <c r="C10" s="11" t="n">
        <f aca="false">COUNTIFS(Series!$B$5:$B$28,$A10,Series!$H$5:$H$28,"&lt;&gt;")</f>
        <v>4</v>
      </c>
      <c r="D10" s="15" t="n">
        <f aca="false">IFERROR(ROUND(AVERAGEIFS(Series!$H$5:$H$28,Series!$B$5:$B$28,$A10),3),"n.d.")</f>
        <v>14.125</v>
      </c>
      <c r="E10" s="15" t="n">
        <f aca="false">IFERROR(INDEX(Series!$H$5:$H$28,MATCH("IV-"&amp;RIGHT($A10,2),Series!$A$5:$A$28,0)),"n.d.")</f>
        <v>12.1</v>
      </c>
      <c r="F10" s="15" t="n">
        <f aca="false">IFERROR(ROUND(AVERAGEIFS(Series!$K$5:$K$28,Series!$B$5:$B$28,$A10),3),"n.d.")</f>
        <v>38.95</v>
      </c>
      <c r="G10" s="15" t="n">
        <f aca="false">IFERROR(ROUND(AVERAGEIFS(Series!$L$5:$L$28,Series!$B$5:$B$28,$A10),3),"n.d.")</f>
        <v>37.9</v>
      </c>
      <c r="H10" s="15" t="n">
        <f aca="false">IFERROR(ROUND(AVERAGEIFS(Series!$M$5:$M$28,Series!$B$5:$B$28,$A10),3),"n.d.")</f>
        <v>47.05</v>
      </c>
      <c r="I10" s="15" t="n">
        <f aca="false">IFERROR(ROUND(AVERAGEIFS(Series!$N$5:$N$28,Series!$B$5:$B$28,$A10),3),"n.d.")</f>
        <v>9.15</v>
      </c>
      <c r="J10" s="15" t="n">
        <f aca="false">IFERROR(ROUND(AVERAGEIFS(Series!$O$5:$O$28,Series!$B$5:$B$28,$A10),3),"n.d.")</f>
        <v>12.8</v>
      </c>
      <c r="K10" s="15" t="n">
        <f aca="false">IFERROR(ROUND(AVERAGEIFS(Series!$P$5:$P$28,Series!$B$5:$B$28,$A10),3),"n.d.")</f>
        <v>21.267</v>
      </c>
      <c r="L10" s="15" t="n">
        <f aca="false">IFERROR(ROUND(AVERAGEIFS(Series!$Q$5:$Q$28,Series!$B$5:$B$28,$A10),3),"n.d.")</f>
        <v>8.467</v>
      </c>
      <c r="M10" s="15" t="n">
        <f aca="false">IFERROR(ROUND(AVERAGEIFS(Series!$R$5:$R$28,Series!$B$5:$B$28,$A10),3),"n.d.")</f>
        <v>56.15</v>
      </c>
      <c r="N10" s="15" t="n">
        <f aca="false">IFERROR(ROUND(AVERAGEIFS(Series!$T$5:$T$28,Series!$B$5:$B$28,$A10),3),"n.d.")</f>
        <v>18.65</v>
      </c>
      <c r="O10" s="15" t="n">
        <f aca="false">IFERROR(ROUND(AVERAGEIFS(Series!$V$5:$V$28,Series!$B$5:$B$28,$A10),3),"n.d.")</f>
        <v>28.55</v>
      </c>
      <c r="P10" s="15" t="n">
        <f aca="false">IFERROR(ROUND(AVERAGEIFS(Series!$AH$5:$AH$28,Series!$B$5:$B$28,$A10),3),"n.d.")</f>
        <v>32.4</v>
      </c>
      <c r="Q10" s="17" t="n">
        <f aca="false">IFERROR(ROUND(AVERAGEIFS(Series!$AE$5:$AE$28,Series!$B$5:$B$28,$A10),5),"n.d.")</f>
        <v>0.0697</v>
      </c>
      <c r="R10" s="25" t="n">
        <f aca="false">IFERROR(AVERAGEIFS(Series!$F$5:$F$28,Series!$B$5:$B$28,$A10),"n.d.")</f>
        <v>10.625</v>
      </c>
      <c r="S10" s="27" t="str">
        <f aca="false">IFERROR(AVERAGEIFS(Series!$G$5:$G$28,Series!$B$5:$B$28,$A10),"pend.")</f>
        <v>pend.</v>
      </c>
      <c r="T10" s="10" t="s">
        <v>112</v>
      </c>
    </row>
    <row r="11" customFormat="false" ht="15" hidden="false" customHeight="false" outlineLevel="0" collapsed="false">
      <c r="A11" s="4" t="s">
        <v>119</v>
      </c>
      <c r="B11" s="10" t="s">
        <v>179</v>
      </c>
      <c r="C11" s="11" t="n">
        <f aca="false">COUNTIFS(Series!$B$5:$B$28,$A11,Series!$H$5:$H$28,"&lt;&gt;")</f>
        <v>4</v>
      </c>
      <c r="D11" s="15" t="n">
        <f aca="false">IFERROR(ROUND(AVERAGEIFS(Series!$H$5:$H$28,Series!$B$5:$B$28,$A11),3),"n.d.")</f>
        <v>13.75</v>
      </c>
      <c r="E11" s="15" t="n">
        <f aca="false">IFERROR(INDEX(Series!$H$5:$H$28,MATCH("IV-"&amp;RIGHT($A11,2),Series!$A$5:$A$28,0)),"n.d.")</f>
        <v>15.3</v>
      </c>
      <c r="F11" s="15" t="n">
        <f aca="false">IFERROR(ROUND(AVERAGEIFS(Series!$K$5:$K$28,Series!$B$5:$B$28,$A11),3),"n.d.")</f>
        <v>37.3</v>
      </c>
      <c r="G11" s="15" t="n">
        <f aca="false">IFERROR(ROUND(AVERAGEIFS(Series!$L$5:$L$28,Series!$B$5:$B$28,$A11),3),"n.d.")</f>
        <v>36.125</v>
      </c>
      <c r="H11" s="15" t="n">
        <f aca="false">IFERROR(ROUND(AVERAGEIFS(Series!$M$5:$M$28,Series!$B$5:$B$28,$A11),3),"n.d.")</f>
        <v>46.35</v>
      </c>
      <c r="I11" s="15" t="n">
        <f aca="false">IFERROR(ROUND(AVERAGEIFS(Series!$N$5:$N$28,Series!$B$5:$B$28,$A11),3),"n.d.")</f>
        <v>10.225</v>
      </c>
      <c r="J11" s="15" t="n">
        <f aca="false">IFERROR(ROUND(AVERAGEIFS(Series!$O$5:$O$28,Series!$B$5:$B$28,$A11),3),"n.d.")</f>
        <v>14.3</v>
      </c>
      <c r="K11" s="15" t="n">
        <f aca="false">IFERROR(ROUND(AVERAGEIFS(Series!$P$5:$P$28,Series!$B$5:$B$28,$A11),3),"n.d.")</f>
        <v>21.8</v>
      </c>
      <c r="L11" s="15" t="n">
        <f aca="false">IFERROR(ROUND(AVERAGEIFS(Series!$Q$5:$Q$28,Series!$B$5:$B$28,$A11),3),"n.d.")</f>
        <v>7.5</v>
      </c>
      <c r="M11" s="15" t="n">
        <f aca="false">IFERROR(ROUND(AVERAGEIFS(Series!$R$5:$R$28,Series!$B$5:$B$28,$A11),3),"n.d.")</f>
        <v>54.8</v>
      </c>
      <c r="N11" s="15" t="n">
        <f aca="false">IFERROR(ROUND(AVERAGEIFS(Series!$T$5:$T$28,Series!$B$5:$B$28,$A11),3),"n.d.")</f>
        <v>18.475</v>
      </c>
      <c r="O11" s="15" t="n">
        <f aca="false">IFERROR(ROUND(AVERAGEIFS(Series!$V$5:$V$28,Series!$B$5:$B$28,$A11),3),"n.d.")</f>
        <v>27.25</v>
      </c>
      <c r="P11" s="15" t="n">
        <f aca="false">IFERROR(ROUND(AVERAGEIFS(Series!$AH$5:$AH$28,Series!$B$5:$B$28,$A11),3),"n.d.")</f>
        <v>45.65</v>
      </c>
      <c r="Q11" s="17" t="n">
        <f aca="false">IFERROR(ROUND(AVERAGEIFS(Series!$AE$5:$AE$28,Series!$B$5:$B$28,$A11),5),"n.d.")</f>
        <v>0.06352</v>
      </c>
      <c r="R11" s="25" t="n">
        <f aca="false">IFERROR(AVERAGEIFS(Series!$F$5:$F$28,Series!$B$5:$B$28,$A11),"n.d.")</f>
        <v>7.875</v>
      </c>
      <c r="S11" s="27" t="str">
        <f aca="false">IFERROR(AVERAGEIFS(Series!$G$5:$G$28,Series!$B$5:$B$28,$A11),"pend.")</f>
        <v>pend.</v>
      </c>
      <c r="T11" s="10" t="s">
        <v>119</v>
      </c>
    </row>
    <row r="12" customFormat="false" ht="15" hidden="false" customHeight="false" outlineLevel="0" collapsed="false">
      <c r="A12" s="4" t="s">
        <v>124</v>
      </c>
      <c r="B12" s="10" t="s">
        <v>180</v>
      </c>
      <c r="C12" s="11" t="n">
        <f aca="false">COUNTIFS(Series!$B$5:$B$28,$A12,Series!$H$5:$H$28,"&lt;&gt;")</f>
        <v>2</v>
      </c>
      <c r="D12" s="15" t="n">
        <f aca="false">IFERROR(ROUND(AVERAGEIFS(Series!$H$5:$H$28,Series!$B$5:$B$28,$A12),3),"n.d.")</f>
        <v>12.15</v>
      </c>
      <c r="E12" s="15" t="str">
        <f aca="false">IFERROR(INDEX(Series!$H$5:$H$28,MATCH("IV-"&amp;RIGHT($A12,2),Series!$A$5:$A$28,0)),"n.d.")</f>
        <v>n.d.</v>
      </c>
      <c r="F12" s="15" t="n">
        <f aca="false">IFERROR(ROUND(AVERAGEIFS(Series!$K$5:$K$28,Series!$B$5:$B$28,$A12),3),"n.d.")</f>
        <v>37.15</v>
      </c>
      <c r="G12" s="15" t="n">
        <f aca="false">IFERROR(ROUND(AVERAGEIFS(Series!$L$5:$L$28,Series!$B$5:$B$28,$A12),3),"n.d.")</f>
        <v>35.75</v>
      </c>
      <c r="H12" s="15" t="n">
        <f aca="false">IFERROR(ROUND(AVERAGEIFS(Series!$M$5:$M$28,Series!$B$5:$B$28,$A12),3),"n.d.")</f>
        <v>48.1</v>
      </c>
      <c r="I12" s="15" t="n">
        <f aca="false">IFERROR(ROUND(AVERAGEIFS(Series!$N$5:$N$28,Series!$B$5:$B$28,$A12),3),"n.d.")</f>
        <v>12.35</v>
      </c>
      <c r="J12" s="15" t="n">
        <f aca="false">IFERROR(ROUND(AVERAGEIFS(Series!$O$5:$O$28,Series!$B$5:$B$28,$A12),3),"n.d.")</f>
        <v>11</v>
      </c>
      <c r="K12" s="15" t="n">
        <f aca="false">IFERROR(ROUND(AVERAGEIFS(Series!$P$5:$P$28,Series!$B$5:$B$28,$A12),3),"n.d.")</f>
        <v>21</v>
      </c>
      <c r="L12" s="15" t="n">
        <f aca="false">IFERROR(ROUND(AVERAGEIFS(Series!$Q$5:$Q$28,Series!$B$5:$B$28,$A12),3),"n.d.")</f>
        <v>10</v>
      </c>
      <c r="M12" s="15" t="n">
        <f aca="false">IFERROR(ROUND(AVERAGEIFS(Series!$R$5:$R$28,Series!$B$5:$B$28,$A12),3),"n.d.")</f>
        <v>53.5</v>
      </c>
      <c r="N12" s="15" t="n">
        <f aca="false">IFERROR(ROUND(AVERAGEIFS(Series!$T$5:$T$28,Series!$B$5:$B$28,$A12),3),"n.d.")</f>
        <v>19.45</v>
      </c>
      <c r="O12" s="15" t="n">
        <f aca="false">IFERROR(ROUND(AVERAGEIFS(Series!$V$5:$V$28,Series!$B$5:$B$28,$A12),3),"n.d.")</f>
        <v>24.75</v>
      </c>
      <c r="P12" s="15" t="n">
        <f aca="false">IFERROR(ROUND(AVERAGEIFS(Series!$AH$5:$AH$28,Series!$B$5:$B$28,$A12),3),"n.d.")</f>
        <v>42.15</v>
      </c>
      <c r="Q12" s="17" t="n">
        <f aca="false">IFERROR(ROUND(AVERAGEIFS(Series!$AE$5:$AE$28,Series!$B$5:$B$28,$A12),5),"n.d.")</f>
        <v>0.23405</v>
      </c>
      <c r="R12" s="25" t="n">
        <f aca="false">IFERROR(AVERAGEIFS(Series!$F$5:$F$28,Series!$B$5:$B$28,$A12),"n.d.")</f>
        <v>6.58333333333333</v>
      </c>
      <c r="S12" s="27" t="str">
        <f aca="false">IFERROR(AVERAGEIFS(Series!$G$5:$G$28,Series!$B$5:$B$28,$A12),"pend.")</f>
        <v>pend.</v>
      </c>
      <c r="T12" s="10" t="s">
        <v>181</v>
      </c>
    </row>
    <row r="14" customFormat="false" ht="15" hidden="false" customHeight="false" outlineLevel="0" collapsed="false">
      <c r="A14" s="19" t="s">
        <v>182</v>
      </c>
    </row>
    <row r="15" customFormat="false" ht="15" hidden="false" customHeight="false" outlineLevel="0" collapsed="false">
      <c r="A15" s="19" t="s">
        <v>183</v>
      </c>
    </row>
    <row r="16" customFormat="false" ht="15" hidden="false" customHeight="false" outlineLevel="0" collapsed="false">
      <c r="A16" s="19" t="s">
        <v>184</v>
      </c>
    </row>
    <row r="17" customFormat="false" ht="15" hidden="false" customHeight="false" outlineLevel="0" collapsed="false">
      <c r="A17" s="19" t="s">
        <v>185</v>
      </c>
    </row>
    <row r="36" customFormat="false" ht="15" hidden="false" customHeight="false" outlineLevel="0" collapsed="false">
      <c r="A36" s="21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3" min="11" style="0" width="13"/>
    <col collapsed="false" customWidth="true" hidden="false" outlineLevel="0" max="14" min="14" style="0" width="14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15" hidden="false" customHeight="false" outlineLevel="0" collapsed="false">
      <c r="A4" s="3" t="s">
        <v>189</v>
      </c>
      <c r="I4" s="3" t="s">
        <v>190</v>
      </c>
    </row>
    <row r="5" customFormat="false" ht="63.75" hidden="false" customHeight="true" outlineLevel="0" collapsed="false">
      <c r="A5" s="9" t="s">
        <v>47</v>
      </c>
      <c r="B5" s="9" t="s">
        <v>48</v>
      </c>
      <c r="C5" s="9" t="s">
        <v>141</v>
      </c>
      <c r="D5" s="9" t="s">
        <v>191</v>
      </c>
      <c r="E5" s="9" t="s">
        <v>192</v>
      </c>
      <c r="F5" s="9" t="s">
        <v>193</v>
      </c>
      <c r="G5" s="9" t="s">
        <v>194</v>
      </c>
      <c r="I5" s="9" t="s">
        <v>47</v>
      </c>
      <c r="J5" s="9" t="s">
        <v>48</v>
      </c>
      <c r="K5" s="9" t="s">
        <v>141</v>
      </c>
      <c r="L5" s="9" t="s">
        <v>191</v>
      </c>
      <c r="M5" s="9" t="s">
        <v>192</v>
      </c>
      <c r="N5" s="9" t="s">
        <v>193</v>
      </c>
      <c r="O5" s="9" t="s">
        <v>194</v>
      </c>
    </row>
    <row r="6" customFormat="false" ht="15" hidden="false" customHeight="false" outlineLevel="0" collapsed="false">
      <c r="A6" s="4" t="s">
        <v>148</v>
      </c>
      <c r="B6" s="10" t="s">
        <v>92</v>
      </c>
      <c r="C6" s="26" t="s">
        <v>175</v>
      </c>
      <c r="D6" s="26" t="s">
        <v>175</v>
      </c>
      <c r="E6" s="26" t="s">
        <v>175</v>
      </c>
      <c r="F6" s="26" t="s">
        <v>175</v>
      </c>
      <c r="G6" s="26" t="s">
        <v>175</v>
      </c>
      <c r="I6" s="4" t="s">
        <v>148</v>
      </c>
      <c r="J6" s="10" t="s">
        <v>92</v>
      </c>
      <c r="K6" s="26" t="s">
        <v>175</v>
      </c>
      <c r="L6" s="26" t="s">
        <v>175</v>
      </c>
      <c r="M6" s="26" t="s">
        <v>175</v>
      </c>
      <c r="N6" s="26" t="s">
        <v>175</v>
      </c>
      <c r="O6" s="26" t="s">
        <v>175</v>
      </c>
    </row>
    <row r="7" customFormat="false" ht="15" hidden="false" customHeight="false" outlineLevel="0" collapsed="false">
      <c r="A7" s="4" t="s">
        <v>150</v>
      </c>
      <c r="B7" s="10" t="s">
        <v>92</v>
      </c>
      <c r="C7" s="26" t="s">
        <v>175</v>
      </c>
      <c r="D7" s="26" t="s">
        <v>175</v>
      </c>
      <c r="E7" s="26" t="s">
        <v>175</v>
      </c>
      <c r="F7" s="26" t="s">
        <v>175</v>
      </c>
      <c r="G7" s="26" t="s">
        <v>175</v>
      </c>
      <c r="I7" s="4" t="s">
        <v>150</v>
      </c>
      <c r="J7" s="10" t="s">
        <v>92</v>
      </c>
      <c r="K7" s="26" t="s">
        <v>175</v>
      </c>
      <c r="L7" s="26" t="s">
        <v>175</v>
      </c>
      <c r="M7" s="26" t="s">
        <v>175</v>
      </c>
      <c r="N7" s="26" t="s">
        <v>175</v>
      </c>
      <c r="O7" s="26" t="s">
        <v>175</v>
      </c>
    </row>
    <row r="8" customFormat="false" ht="15" hidden="false" customHeight="false" outlineLevel="0" collapsed="false">
      <c r="A8" s="4" t="s">
        <v>151</v>
      </c>
      <c r="B8" s="10" t="s">
        <v>92</v>
      </c>
      <c r="C8" s="26" t="s">
        <v>175</v>
      </c>
      <c r="D8" s="26" t="s">
        <v>175</v>
      </c>
      <c r="E8" s="26" t="s">
        <v>175</v>
      </c>
      <c r="F8" s="26" t="s">
        <v>175</v>
      </c>
      <c r="G8" s="26" t="s">
        <v>175</v>
      </c>
      <c r="I8" s="4" t="s">
        <v>151</v>
      </c>
      <c r="J8" s="10" t="s">
        <v>92</v>
      </c>
      <c r="K8" s="26" t="s">
        <v>175</v>
      </c>
      <c r="L8" s="26" t="s">
        <v>175</v>
      </c>
      <c r="M8" s="26" t="s">
        <v>175</v>
      </c>
      <c r="N8" s="26" t="s">
        <v>175</v>
      </c>
      <c r="O8" s="26" t="s">
        <v>175</v>
      </c>
    </row>
    <row r="9" customFormat="false" ht="15" hidden="false" customHeight="false" outlineLevel="0" collapsed="false">
      <c r="A9" s="4" t="s">
        <v>91</v>
      </c>
      <c r="B9" s="10" t="s">
        <v>92</v>
      </c>
      <c r="C9" s="22" t="n">
        <f aca="false">IF(Series!M5="","n.d.",Series!M5)</f>
        <v>46.9</v>
      </c>
      <c r="D9" s="22" t="str">
        <f aca="false">IF(Series!P5="","n.d.",Series!P5)</f>
        <v>n.d.</v>
      </c>
      <c r="E9" s="22" t="str">
        <f aca="false">IF(Series!AJ5="","n.d.",Series!AJ5)</f>
        <v>n.d.</v>
      </c>
      <c r="F9" s="22" t="str">
        <f aca="false">IF(Series!X5="","n.d.",Series!X5)</f>
        <v>n.d.</v>
      </c>
      <c r="G9" s="28" t="str">
        <f aca="false">IF(Series!AG5="","n.d.",Series!AG5)</f>
        <v>n.d.</v>
      </c>
      <c r="I9" s="4" t="s">
        <v>91</v>
      </c>
      <c r="J9" s="10" t="s">
        <v>92</v>
      </c>
      <c r="K9" s="22" t="n">
        <f aca="false">IF(Series!L5="","n.d.",Series!L5)</f>
        <v>38.7</v>
      </c>
      <c r="L9" s="22" t="str">
        <f aca="false">IF(Series!O5="","n.d.",Series!O5)</f>
        <v>n.d.</v>
      </c>
      <c r="M9" s="22" t="str">
        <f aca="false">IF(Series!AI5="","n.d.",Series!AI5)</f>
        <v>n.d.</v>
      </c>
      <c r="N9" s="22" t="str">
        <f aca="false">IF(Series!W5="","n.d.",Series!W5)</f>
        <v>n.d.</v>
      </c>
      <c r="O9" s="28" t="str">
        <f aca="false">IF(Series!AF5="","n.d.",Series!AF5)</f>
        <v>n.d.</v>
      </c>
    </row>
    <row r="10" customFormat="false" ht="15" hidden="false" customHeight="false" outlineLevel="0" collapsed="false">
      <c r="A10" s="4" t="s">
        <v>94</v>
      </c>
      <c r="B10" s="10" t="s">
        <v>95</v>
      </c>
      <c r="C10" s="22" t="n">
        <f aca="false">IF(Series!M6="","n.d.",Series!M6)</f>
        <v>51.9</v>
      </c>
      <c r="D10" s="22" t="str">
        <f aca="false">IF(Series!P6="","n.d.",Series!P6)</f>
        <v>n.d.</v>
      </c>
      <c r="E10" s="22" t="str">
        <f aca="false">IF(Series!AJ6="","n.d.",Series!AJ6)</f>
        <v>n.d.</v>
      </c>
      <c r="F10" s="22" t="str">
        <f aca="false">IF(Series!X6="","n.d.",Series!X6)</f>
        <v>n.d.</v>
      </c>
      <c r="G10" s="28" t="str">
        <f aca="false">IF(Series!AG6="","n.d.",Series!AG6)</f>
        <v>n.d.</v>
      </c>
      <c r="I10" s="4" t="s">
        <v>94</v>
      </c>
      <c r="J10" s="10" t="s">
        <v>95</v>
      </c>
      <c r="K10" s="22" t="n">
        <f aca="false">IF(Series!L6="","n.d.",Series!L6)</f>
        <v>37.5</v>
      </c>
      <c r="L10" s="22" t="str">
        <f aca="false">IF(Series!O6="","n.d.",Series!O6)</f>
        <v>n.d.</v>
      </c>
      <c r="M10" s="22" t="str">
        <f aca="false">IF(Series!AI6="","n.d.",Series!AI6)</f>
        <v>n.d.</v>
      </c>
      <c r="N10" s="22" t="str">
        <f aca="false">IF(Series!W6="","n.d.",Series!W6)</f>
        <v>n.d.</v>
      </c>
      <c r="O10" s="28" t="str">
        <f aca="false">IF(Series!AF6="","n.d.",Series!AF6)</f>
        <v>n.d.</v>
      </c>
    </row>
    <row r="11" customFormat="false" ht="15" hidden="false" customHeight="false" outlineLevel="0" collapsed="false">
      <c r="A11" s="4" t="s">
        <v>96</v>
      </c>
      <c r="B11" s="10" t="s">
        <v>95</v>
      </c>
      <c r="C11" s="22" t="n">
        <f aca="false">IF(Series!M7="","n.d.",Series!M7)</f>
        <v>48.6</v>
      </c>
      <c r="D11" s="22" t="str">
        <f aca="false">IF(Series!P7="","n.d.",Series!P7)</f>
        <v>n.d.</v>
      </c>
      <c r="E11" s="22" t="str">
        <f aca="false">IF(Series!AJ7="","n.d.",Series!AJ7)</f>
        <v>n.d.</v>
      </c>
      <c r="F11" s="22" t="str">
        <f aca="false">IF(Series!X7="","n.d.",Series!X7)</f>
        <v>n.d.</v>
      </c>
      <c r="G11" s="28" t="str">
        <f aca="false">IF(Series!AG7="","n.d.",Series!AG7)</f>
        <v>n.d.</v>
      </c>
      <c r="I11" s="4" t="s">
        <v>96</v>
      </c>
      <c r="J11" s="10" t="s">
        <v>95</v>
      </c>
      <c r="K11" s="22" t="n">
        <f aca="false">IF(Series!L7="","n.d.",Series!L7)</f>
        <v>35</v>
      </c>
      <c r="L11" s="22" t="str">
        <f aca="false">IF(Series!O7="","n.d.",Series!O7)</f>
        <v>n.d.</v>
      </c>
      <c r="M11" s="22" t="str">
        <f aca="false">IF(Series!AI7="","n.d.",Series!AI7)</f>
        <v>n.d.</v>
      </c>
      <c r="N11" s="22" t="str">
        <f aca="false">IF(Series!W7="","n.d.",Series!W7)</f>
        <v>n.d.</v>
      </c>
      <c r="O11" s="28" t="str">
        <f aca="false">IF(Series!AF7="","n.d.",Series!AF7)</f>
        <v>n.d.</v>
      </c>
    </row>
    <row r="12" customFormat="false" ht="15" hidden="false" customHeight="false" outlineLevel="0" collapsed="false">
      <c r="A12" s="4" t="s">
        <v>98</v>
      </c>
      <c r="B12" s="10" t="s">
        <v>95</v>
      </c>
      <c r="C12" s="22" t="n">
        <f aca="false">IF(Series!M8="","n.d.",Series!M8)</f>
        <v>52.1</v>
      </c>
      <c r="D12" s="22" t="str">
        <f aca="false">IF(Series!P8="","n.d.",Series!P8)</f>
        <v>n.d.</v>
      </c>
      <c r="E12" s="22" t="str">
        <f aca="false">IF(Series!AJ8="","n.d.",Series!AJ8)</f>
        <v>n.d.</v>
      </c>
      <c r="F12" s="22" t="str">
        <f aca="false">IF(Series!X8="","n.d.",Series!X8)</f>
        <v>n.d.</v>
      </c>
      <c r="G12" s="28" t="str">
        <f aca="false">IF(Series!AG8="","n.d.",Series!AG8)</f>
        <v>n.d.</v>
      </c>
      <c r="I12" s="4" t="s">
        <v>98</v>
      </c>
      <c r="J12" s="10" t="s">
        <v>95</v>
      </c>
      <c r="K12" s="22" t="n">
        <f aca="false">IF(Series!L8="","n.d.",Series!L8)</f>
        <v>35.6</v>
      </c>
      <c r="L12" s="22" t="str">
        <f aca="false">IF(Series!O8="","n.d.",Series!O8)</f>
        <v>n.d.</v>
      </c>
      <c r="M12" s="22" t="str">
        <f aca="false">IF(Series!AI8="","n.d.",Series!AI8)</f>
        <v>n.d.</v>
      </c>
      <c r="N12" s="22" t="str">
        <f aca="false">IF(Series!W8="","n.d.",Series!W8)</f>
        <v>n.d.</v>
      </c>
      <c r="O12" s="28" t="str">
        <f aca="false">IF(Series!AF8="","n.d.",Series!AF8)</f>
        <v>n.d.</v>
      </c>
    </row>
    <row r="13" customFormat="false" ht="15" hidden="false" customHeight="false" outlineLevel="0" collapsed="false">
      <c r="A13" s="4" t="s">
        <v>99</v>
      </c>
      <c r="B13" s="10" t="s">
        <v>95</v>
      </c>
      <c r="C13" s="22" t="n">
        <f aca="false">IF(Series!M9="","n.d.",Series!M9)</f>
        <v>54.4</v>
      </c>
      <c r="D13" s="22" t="str">
        <f aca="false">IF(Series!P9="","n.d.",Series!P9)</f>
        <v>n.d.</v>
      </c>
      <c r="E13" s="22" t="str">
        <f aca="false">IF(Series!AJ9="","n.d.",Series!AJ9)</f>
        <v>n.d.</v>
      </c>
      <c r="F13" s="22" t="str">
        <f aca="false">IF(Series!X9="","n.d.",Series!X9)</f>
        <v>n.d.</v>
      </c>
      <c r="G13" s="28" t="str">
        <f aca="false">IF(Series!AG9="","n.d.",Series!AG9)</f>
        <v>n.d.</v>
      </c>
      <c r="I13" s="4" t="s">
        <v>99</v>
      </c>
      <c r="J13" s="10" t="s">
        <v>95</v>
      </c>
      <c r="K13" s="22" t="n">
        <f aca="false">IF(Series!L9="","n.d.",Series!L9)</f>
        <v>35.3</v>
      </c>
      <c r="L13" s="22" t="str">
        <f aca="false">IF(Series!O9="","n.d.",Series!O9)</f>
        <v>n.d.</v>
      </c>
      <c r="M13" s="22" t="str">
        <f aca="false">IF(Series!AI9="","n.d.",Series!AI9)</f>
        <v>n.d.</v>
      </c>
      <c r="N13" s="22" t="str">
        <f aca="false">IF(Series!W9="","n.d.",Series!W9)</f>
        <v>n.d.</v>
      </c>
      <c r="O13" s="28" t="str">
        <f aca="false">IF(Series!AF9="","n.d.",Series!AF9)</f>
        <v>n.d.</v>
      </c>
    </row>
    <row r="14" customFormat="false" ht="15" hidden="false" customHeight="false" outlineLevel="0" collapsed="false">
      <c r="A14" s="4" t="s">
        <v>100</v>
      </c>
      <c r="B14" s="10" t="s">
        <v>101</v>
      </c>
      <c r="C14" s="22" t="n">
        <f aca="false">IF(Series!M10="","n.d.",Series!M10)</f>
        <v>47.8</v>
      </c>
      <c r="D14" s="22" t="str">
        <f aca="false">IF(Series!P10="","n.d.",Series!P10)</f>
        <v>n.d.</v>
      </c>
      <c r="E14" s="22" t="str">
        <f aca="false">IF(Series!AJ10="","n.d.",Series!AJ10)</f>
        <v>n.d.</v>
      </c>
      <c r="F14" s="22" t="str">
        <f aca="false">IF(Series!X10="","n.d.",Series!X10)</f>
        <v>n.d.</v>
      </c>
      <c r="G14" s="28" t="str">
        <f aca="false">IF(Series!AG10="","n.d.",Series!AG10)</f>
        <v>n.d.</v>
      </c>
      <c r="I14" s="4" t="s">
        <v>100</v>
      </c>
      <c r="J14" s="10" t="s">
        <v>101</v>
      </c>
      <c r="K14" s="22" t="n">
        <f aca="false">IF(Series!L10="","n.d.",Series!L10)</f>
        <v>41.1</v>
      </c>
      <c r="L14" s="22" t="str">
        <f aca="false">IF(Series!O10="","n.d.",Series!O10)</f>
        <v>n.d.</v>
      </c>
      <c r="M14" s="22" t="str">
        <f aca="false">IF(Series!AI10="","n.d.",Series!AI10)</f>
        <v>n.d.</v>
      </c>
      <c r="N14" s="22" t="str">
        <f aca="false">IF(Series!W10="","n.d.",Series!W10)</f>
        <v>n.d.</v>
      </c>
      <c r="O14" s="28" t="str">
        <f aca="false">IF(Series!AF10="","n.d.",Series!AF10)</f>
        <v>n.d.</v>
      </c>
    </row>
    <row r="15" customFormat="false" ht="15" hidden="false" customHeight="false" outlineLevel="0" collapsed="false">
      <c r="A15" s="4" t="s">
        <v>102</v>
      </c>
      <c r="B15" s="10" t="s">
        <v>101</v>
      </c>
      <c r="C15" s="22" t="n">
        <f aca="false">IF(Series!M11="","n.d.",Series!M11)</f>
        <v>51.8</v>
      </c>
      <c r="D15" s="22" t="str">
        <f aca="false">IF(Series!P11="","n.d.",Series!P11)</f>
        <v>n.d.</v>
      </c>
      <c r="E15" s="22" t="str">
        <f aca="false">IF(Series!AJ11="","n.d.",Series!AJ11)</f>
        <v>n.d.</v>
      </c>
      <c r="F15" s="22" t="str">
        <f aca="false">IF(Series!X11="","n.d.",Series!X11)</f>
        <v>n.d.</v>
      </c>
      <c r="G15" s="28" t="str">
        <f aca="false">IF(Series!AG11="","n.d.",Series!AG11)</f>
        <v>n.d.</v>
      </c>
      <c r="I15" s="4" t="s">
        <v>102</v>
      </c>
      <c r="J15" s="10" t="s">
        <v>101</v>
      </c>
      <c r="K15" s="22" t="n">
        <f aca="false">IF(Series!L11="","n.d.",Series!L11)</f>
        <v>38.7</v>
      </c>
      <c r="L15" s="22" t="str">
        <f aca="false">IF(Series!O11="","n.d.",Series!O11)</f>
        <v>n.d.</v>
      </c>
      <c r="M15" s="22" t="str">
        <f aca="false">IF(Series!AI11="","n.d.",Series!AI11)</f>
        <v>n.d.</v>
      </c>
      <c r="N15" s="22" t="str">
        <f aca="false">IF(Series!W11="","n.d.",Series!W11)</f>
        <v>n.d.</v>
      </c>
      <c r="O15" s="28" t="str">
        <f aca="false">IF(Series!AF11="","n.d.",Series!AF11)</f>
        <v>n.d.</v>
      </c>
    </row>
    <row r="16" customFormat="false" ht="15" hidden="false" customHeight="false" outlineLevel="0" collapsed="false">
      <c r="A16" s="4" t="s">
        <v>103</v>
      </c>
      <c r="B16" s="10" t="s">
        <v>101</v>
      </c>
      <c r="C16" s="22" t="n">
        <f aca="false">IF(Series!M12="","n.d.",Series!M12)</f>
        <v>45.1</v>
      </c>
      <c r="D16" s="22" t="str">
        <f aca="false">IF(Series!P12="","n.d.",Series!P12)</f>
        <v>n.d.</v>
      </c>
      <c r="E16" s="22" t="str">
        <f aca="false">IF(Series!AJ12="","n.d.",Series!AJ12)</f>
        <v>n.d.</v>
      </c>
      <c r="F16" s="22" t="str">
        <f aca="false">IF(Series!X12="","n.d.",Series!X12)</f>
        <v>n.d.</v>
      </c>
      <c r="G16" s="28" t="str">
        <f aca="false">IF(Series!AG12="","n.d.",Series!AG12)</f>
        <v>n.d.</v>
      </c>
      <c r="I16" s="4" t="s">
        <v>103</v>
      </c>
      <c r="J16" s="10" t="s">
        <v>101</v>
      </c>
      <c r="K16" s="22" t="n">
        <f aca="false">IF(Series!L12="","n.d.",Series!L12)</f>
        <v>37</v>
      </c>
      <c r="L16" s="22" t="str">
        <f aca="false">IF(Series!O12="","n.d.",Series!O12)</f>
        <v>n.d.</v>
      </c>
      <c r="M16" s="22" t="str">
        <f aca="false">IF(Series!AI12="","n.d.",Series!AI12)</f>
        <v>n.d.</v>
      </c>
      <c r="N16" s="22" t="str">
        <f aca="false">IF(Series!W12="","n.d.",Series!W12)</f>
        <v>n.d.</v>
      </c>
      <c r="O16" s="28" t="str">
        <f aca="false">IF(Series!AF12="","n.d.",Series!AF12)</f>
        <v>n.d.</v>
      </c>
    </row>
    <row r="17" customFormat="false" ht="15" hidden="false" customHeight="false" outlineLevel="0" collapsed="false">
      <c r="A17" s="4" t="s">
        <v>104</v>
      </c>
      <c r="B17" s="10" t="s">
        <v>101</v>
      </c>
      <c r="C17" s="22" t="n">
        <f aca="false">IF(Series!M13="","n.d.",Series!M13)</f>
        <v>38.9</v>
      </c>
      <c r="D17" s="22" t="n">
        <f aca="false">IF(Series!P13="","n.d.",Series!P13)</f>
        <v>20.5</v>
      </c>
      <c r="E17" s="22" t="str">
        <f aca="false">IF(Series!AJ13="","n.d.",Series!AJ13)</f>
        <v>n.d.</v>
      </c>
      <c r="F17" s="22" t="str">
        <f aca="false">IF(Series!X13="","n.d.",Series!X13)</f>
        <v>n.d.</v>
      </c>
      <c r="G17" s="28" t="str">
        <f aca="false">IF(Series!AG13="","n.d.",Series!AG13)</f>
        <v>n.d.</v>
      </c>
      <c r="I17" s="4" t="s">
        <v>104</v>
      </c>
      <c r="J17" s="10" t="s">
        <v>101</v>
      </c>
      <c r="K17" s="22" t="n">
        <f aca="false">IF(Series!L13="","n.d.",Series!L13)</f>
        <v>36.9</v>
      </c>
      <c r="L17" s="22" t="n">
        <f aca="false">IF(Series!O13="","n.d.",Series!O13)</f>
        <v>13</v>
      </c>
      <c r="M17" s="22" t="str">
        <f aca="false">IF(Series!AI13="","n.d.",Series!AI13)</f>
        <v>n.d.</v>
      </c>
      <c r="N17" s="22" t="str">
        <f aca="false">IF(Series!W13="","n.d.",Series!W13)</f>
        <v>n.d.</v>
      </c>
      <c r="O17" s="28" t="str">
        <f aca="false">IF(Series!AF13="","n.d.",Series!AF13)</f>
        <v>n.d.</v>
      </c>
    </row>
    <row r="18" customFormat="false" ht="15" hidden="false" customHeight="false" outlineLevel="0" collapsed="false">
      <c r="A18" s="4" t="s">
        <v>105</v>
      </c>
      <c r="B18" s="10" t="s">
        <v>106</v>
      </c>
      <c r="C18" s="22" t="n">
        <f aca="false">IF(Series!M14="","n.d.",Series!M14)</f>
        <v>44.8</v>
      </c>
      <c r="D18" s="22" t="str">
        <f aca="false">IF(Series!P14="","n.d.",Series!P14)</f>
        <v>n.d.</v>
      </c>
      <c r="E18" s="22" t="str">
        <f aca="false">IF(Series!AJ14="","n.d.",Series!AJ14)</f>
        <v>n.d.</v>
      </c>
      <c r="F18" s="22" t="str">
        <f aca="false">IF(Series!X14="","n.d.",Series!X14)</f>
        <v>n.d.</v>
      </c>
      <c r="G18" s="28" t="str">
        <f aca="false">IF(Series!AG14="","n.d.",Series!AG14)</f>
        <v>n.d.</v>
      </c>
      <c r="I18" s="4" t="s">
        <v>105</v>
      </c>
      <c r="J18" s="10" t="s">
        <v>106</v>
      </c>
      <c r="K18" s="22" t="n">
        <f aca="false">IF(Series!L14="","n.d.",Series!L14)</f>
        <v>35.7</v>
      </c>
      <c r="L18" s="22" t="str">
        <f aca="false">IF(Series!O14="","n.d.",Series!O14)</f>
        <v>n.d.</v>
      </c>
      <c r="M18" s="22" t="str">
        <f aca="false">IF(Series!AI14="","n.d.",Series!AI14)</f>
        <v>n.d.</v>
      </c>
      <c r="N18" s="22" t="str">
        <f aca="false">IF(Series!W14="","n.d.",Series!W14)</f>
        <v>n.d.</v>
      </c>
      <c r="O18" s="28" t="str">
        <f aca="false">IF(Series!AF14="","n.d.",Series!AF14)</f>
        <v>n.d.</v>
      </c>
    </row>
    <row r="19" customFormat="false" ht="15" hidden="false" customHeight="false" outlineLevel="0" collapsed="false">
      <c r="A19" s="4" t="s">
        <v>107</v>
      </c>
      <c r="B19" s="10" t="s">
        <v>106</v>
      </c>
      <c r="C19" s="22" t="n">
        <f aca="false">IF(Series!M15="","n.d.",Series!M15)</f>
        <v>43.4</v>
      </c>
      <c r="D19" s="22" t="n">
        <f aca="false">IF(Series!P15="","n.d.",Series!P15)</f>
        <v>21.6</v>
      </c>
      <c r="E19" s="22" t="str">
        <f aca="false">IF(Series!AJ15="","n.d.",Series!AJ15)</f>
        <v>n.d.</v>
      </c>
      <c r="F19" s="22" t="str">
        <f aca="false">IF(Series!X15="","n.d.",Series!X15)</f>
        <v>n.d.</v>
      </c>
      <c r="G19" s="28" t="str">
        <f aca="false">IF(Series!AG15="","n.d.",Series!AG15)</f>
        <v>n.d.</v>
      </c>
      <c r="I19" s="4" t="s">
        <v>107</v>
      </c>
      <c r="J19" s="10" t="s">
        <v>106</v>
      </c>
      <c r="K19" s="22" t="n">
        <f aca="false">IF(Series!L15="","n.d.",Series!L15)</f>
        <v>36.6</v>
      </c>
      <c r="L19" s="22" t="n">
        <f aca="false">IF(Series!O15="","n.d.",Series!O15)</f>
        <v>14</v>
      </c>
      <c r="M19" s="22" t="str">
        <f aca="false">IF(Series!AI15="","n.d.",Series!AI15)</f>
        <v>n.d.</v>
      </c>
      <c r="N19" s="22" t="str">
        <f aca="false">IF(Series!W15="","n.d.",Series!W15)</f>
        <v>n.d.</v>
      </c>
      <c r="O19" s="28" t="str">
        <f aca="false">IF(Series!AF15="","n.d.",Series!AF15)</f>
        <v>n.d.</v>
      </c>
    </row>
    <row r="20" customFormat="false" ht="15" hidden="false" customHeight="false" outlineLevel="0" collapsed="false">
      <c r="A20" s="4" t="s">
        <v>109</v>
      </c>
      <c r="B20" s="10" t="s">
        <v>106</v>
      </c>
      <c r="C20" s="22" t="n">
        <f aca="false">IF(Series!M16="","n.d.",Series!M16)</f>
        <v>42.4</v>
      </c>
      <c r="D20" s="22" t="str">
        <f aca="false">IF(Series!P16="","n.d.",Series!P16)</f>
        <v>n.d.</v>
      </c>
      <c r="E20" s="22" t="str">
        <f aca="false">IF(Series!AJ16="","n.d.",Series!AJ16)</f>
        <v>n.d.</v>
      </c>
      <c r="F20" s="22" t="str">
        <f aca="false">IF(Series!X16="","n.d.",Series!X16)</f>
        <v>n.d.</v>
      </c>
      <c r="G20" s="28" t="str">
        <f aca="false">IF(Series!AG16="","n.d.",Series!AG16)</f>
        <v>n.d.</v>
      </c>
      <c r="I20" s="4" t="s">
        <v>109</v>
      </c>
      <c r="J20" s="10" t="s">
        <v>106</v>
      </c>
      <c r="K20" s="22" t="n">
        <f aca="false">IF(Series!L16="","n.d.",Series!L16)</f>
        <v>35.5</v>
      </c>
      <c r="L20" s="22" t="str">
        <f aca="false">IF(Series!O16="","n.d.",Series!O16)</f>
        <v>n.d.</v>
      </c>
      <c r="M20" s="22" t="str">
        <f aca="false">IF(Series!AI16="","n.d.",Series!AI16)</f>
        <v>n.d.</v>
      </c>
      <c r="N20" s="22" t="str">
        <f aca="false">IF(Series!W16="","n.d.",Series!W16)</f>
        <v>n.d.</v>
      </c>
      <c r="O20" s="28" t="str">
        <f aca="false">IF(Series!AF16="","n.d.",Series!AF16)</f>
        <v>n.d.</v>
      </c>
    </row>
    <row r="21" customFormat="false" ht="15" hidden="false" customHeight="false" outlineLevel="0" collapsed="false">
      <c r="A21" s="4" t="s">
        <v>110</v>
      </c>
      <c r="B21" s="10" t="s">
        <v>106</v>
      </c>
      <c r="C21" s="22" t="n">
        <f aca="false">IF(Series!M17="","n.d.",Series!M17)</f>
        <v>44.3</v>
      </c>
      <c r="D21" s="22" t="n">
        <f aca="false">IF(Series!P17="","n.d.",Series!P17)</f>
        <v>18.6</v>
      </c>
      <c r="E21" s="22" t="str">
        <f aca="false">IF(Series!AJ17="","n.d.",Series!AJ17)</f>
        <v>n.d.</v>
      </c>
      <c r="F21" s="22" t="str">
        <f aca="false">IF(Series!X17="","n.d.",Series!X17)</f>
        <v>n.d.</v>
      </c>
      <c r="G21" s="28" t="str">
        <f aca="false">IF(Series!AG17="","n.d.",Series!AG17)</f>
        <v>n.d.</v>
      </c>
      <c r="I21" s="4" t="s">
        <v>110</v>
      </c>
      <c r="J21" s="10" t="s">
        <v>106</v>
      </c>
      <c r="K21" s="22" t="n">
        <f aca="false">IF(Series!L17="","n.d.",Series!L17)</f>
        <v>40.1</v>
      </c>
      <c r="L21" s="22" t="n">
        <f aca="false">IF(Series!O17="","n.d.",Series!O17)</f>
        <v>15.3</v>
      </c>
      <c r="M21" s="22" t="str">
        <f aca="false">IF(Series!AI17="","n.d.",Series!AI17)</f>
        <v>n.d.</v>
      </c>
      <c r="N21" s="22" t="str">
        <f aca="false">IF(Series!W17="","n.d.",Series!W17)</f>
        <v>n.d.</v>
      </c>
      <c r="O21" s="28" t="str">
        <f aca="false">IF(Series!AF17="","n.d.",Series!AF17)</f>
        <v>n.d.</v>
      </c>
    </row>
    <row r="22" customFormat="false" ht="15" hidden="false" customHeight="false" outlineLevel="0" collapsed="false">
      <c r="A22" s="4" t="s">
        <v>111</v>
      </c>
      <c r="B22" s="10" t="s">
        <v>112</v>
      </c>
      <c r="C22" s="22" t="n">
        <f aca="false">IF(Series!M18="","n.d.",Series!M18)</f>
        <v>46.5</v>
      </c>
      <c r="D22" s="22" t="n">
        <f aca="false">IF(Series!P18="","n.d.",Series!P18)</f>
        <v>20.2</v>
      </c>
      <c r="E22" s="22" t="str">
        <f aca="false">IF(Series!AJ18="","n.d.",Series!AJ18)</f>
        <v>n.d.</v>
      </c>
      <c r="F22" s="22" t="str">
        <f aca="false">IF(Series!X18="","n.d.",Series!X18)</f>
        <v>n.d.</v>
      </c>
      <c r="G22" s="28" t="str">
        <f aca="false">IF(Series!AG18="","n.d.",Series!AG18)</f>
        <v>n.d.</v>
      </c>
      <c r="I22" s="4" t="s">
        <v>111</v>
      </c>
      <c r="J22" s="10" t="s">
        <v>112</v>
      </c>
      <c r="K22" s="22" t="n">
        <f aca="false">IF(Series!L18="","n.d.",Series!L18)</f>
        <v>38.6</v>
      </c>
      <c r="L22" s="22" t="n">
        <f aca="false">IF(Series!O18="","n.d.",Series!O18)</f>
        <v>16.3</v>
      </c>
      <c r="M22" s="22" t="str">
        <f aca="false">IF(Series!AI18="","n.d.",Series!AI18)</f>
        <v>n.d.</v>
      </c>
      <c r="N22" s="22" t="str">
        <f aca="false">IF(Series!W18="","n.d.",Series!W18)</f>
        <v>n.d.</v>
      </c>
      <c r="O22" s="28" t="str">
        <f aca="false">IF(Series!AF18="","n.d.",Series!AF18)</f>
        <v>n.d.</v>
      </c>
    </row>
    <row r="23" customFormat="false" ht="15" hidden="false" customHeight="false" outlineLevel="0" collapsed="false">
      <c r="A23" s="4" t="s">
        <v>115</v>
      </c>
      <c r="B23" s="10" t="s">
        <v>112</v>
      </c>
      <c r="C23" s="22" t="n">
        <f aca="false">IF(Series!M19="","n.d.",Series!M19)</f>
        <v>46.2</v>
      </c>
      <c r="D23" s="22" t="n">
        <f aca="false">IF(Series!P19="","n.d.",Series!P19)</f>
        <v>22.2</v>
      </c>
      <c r="E23" s="22" t="str">
        <f aca="false">IF(Series!AJ19="","n.d.",Series!AJ19)</f>
        <v>n.d.</v>
      </c>
      <c r="F23" s="22" t="str">
        <f aca="false">IF(Series!X19="","n.d.",Series!X19)</f>
        <v>n.d.</v>
      </c>
      <c r="G23" s="28" t="str">
        <f aca="false">IF(Series!AG19="","n.d.",Series!AG19)</f>
        <v>n.d.</v>
      </c>
      <c r="I23" s="4" t="s">
        <v>115</v>
      </c>
      <c r="J23" s="10" t="s">
        <v>112</v>
      </c>
      <c r="K23" s="22" t="n">
        <f aca="false">IF(Series!L19="","n.d.",Series!L19)</f>
        <v>39.3</v>
      </c>
      <c r="L23" s="22" t="n">
        <f aca="false">IF(Series!O19="","n.d.",Series!O19)</f>
        <v>11.2</v>
      </c>
      <c r="M23" s="22" t="str">
        <f aca="false">IF(Series!AI19="","n.d.",Series!AI19)</f>
        <v>n.d.</v>
      </c>
      <c r="N23" s="22" t="str">
        <f aca="false">IF(Series!W19="","n.d.",Series!W19)</f>
        <v>n.d.</v>
      </c>
      <c r="O23" s="28" t="str">
        <f aca="false">IF(Series!AF19="","n.d.",Series!AF19)</f>
        <v>n.d.</v>
      </c>
    </row>
    <row r="24" customFormat="false" ht="15" hidden="false" customHeight="false" outlineLevel="0" collapsed="false">
      <c r="A24" s="4" t="s">
        <v>116</v>
      </c>
      <c r="B24" s="10" t="s">
        <v>112</v>
      </c>
      <c r="C24" s="22" t="n">
        <f aca="false">IF(Series!M20="","n.d.",Series!M20)</f>
        <v>47.5</v>
      </c>
      <c r="D24" s="22" t="str">
        <f aca="false">IF(Series!P20="","n.d.",Series!P20)</f>
        <v>n.d.</v>
      </c>
      <c r="E24" s="22" t="str">
        <f aca="false">IF(Series!AJ20="","n.d.",Series!AJ20)</f>
        <v>n.d.</v>
      </c>
      <c r="F24" s="22" t="str">
        <f aca="false">IF(Series!X20="","n.d.",Series!X20)</f>
        <v>n.d.</v>
      </c>
      <c r="G24" s="28" t="str">
        <f aca="false">IF(Series!AG20="","n.d.",Series!AG20)</f>
        <v>n.d.</v>
      </c>
      <c r="I24" s="4" t="s">
        <v>116</v>
      </c>
      <c r="J24" s="10" t="s">
        <v>112</v>
      </c>
      <c r="K24" s="22" t="n">
        <f aca="false">IF(Series!L20="","n.d.",Series!L20)</f>
        <v>38.9</v>
      </c>
      <c r="L24" s="22" t="str">
        <f aca="false">IF(Series!O20="","n.d.",Series!O20)</f>
        <v>n.d.</v>
      </c>
      <c r="M24" s="22" t="str">
        <f aca="false">IF(Series!AI20="","n.d.",Series!AI20)</f>
        <v>n.d.</v>
      </c>
      <c r="N24" s="22" t="str">
        <f aca="false">IF(Series!W20="","n.d.",Series!W20)</f>
        <v>n.d.</v>
      </c>
      <c r="O24" s="28" t="str">
        <f aca="false">IF(Series!AF20="","n.d.",Series!AF20)</f>
        <v>n.d.</v>
      </c>
    </row>
    <row r="25" customFormat="false" ht="15" hidden="false" customHeight="false" outlineLevel="0" collapsed="false">
      <c r="A25" s="4" t="s">
        <v>117</v>
      </c>
      <c r="B25" s="10" t="s">
        <v>112</v>
      </c>
      <c r="C25" s="22" t="n">
        <f aca="false">IF(Series!M21="","n.d.",Series!M21)</f>
        <v>48</v>
      </c>
      <c r="D25" s="22" t="n">
        <f aca="false">IF(Series!P21="","n.d.",Series!P21)</f>
        <v>21.4</v>
      </c>
      <c r="E25" s="22" t="str">
        <f aca="false">IF(Series!AJ21="","n.d.",Series!AJ21)</f>
        <v>n.d.</v>
      </c>
      <c r="F25" s="22" t="str">
        <f aca="false">IF(Series!X21="","n.d.",Series!X21)</f>
        <v>n.d.</v>
      </c>
      <c r="G25" s="28" t="str">
        <f aca="false">IF(Series!AG21="","n.d.",Series!AG21)</f>
        <v>n.d.</v>
      </c>
      <c r="I25" s="4" t="s">
        <v>117</v>
      </c>
      <c r="J25" s="10" t="s">
        <v>112</v>
      </c>
      <c r="K25" s="22" t="n">
        <f aca="false">IF(Series!L21="","n.d.",Series!L21)</f>
        <v>34.8</v>
      </c>
      <c r="L25" s="22" t="n">
        <f aca="false">IF(Series!O21="","n.d.",Series!O21)</f>
        <v>10.9</v>
      </c>
      <c r="M25" s="22" t="str">
        <f aca="false">IF(Series!AI21="","n.d.",Series!AI21)</f>
        <v>n.d.</v>
      </c>
      <c r="N25" s="22" t="str">
        <f aca="false">IF(Series!W21="","n.d.",Series!W21)</f>
        <v>n.d.</v>
      </c>
      <c r="O25" s="28" t="str">
        <f aca="false">IF(Series!AF21="","n.d.",Series!AF21)</f>
        <v>n.d.</v>
      </c>
    </row>
    <row r="26" customFormat="false" ht="15" hidden="false" customHeight="false" outlineLevel="0" collapsed="false">
      <c r="A26" s="4" t="s">
        <v>118</v>
      </c>
      <c r="B26" s="10" t="s">
        <v>119</v>
      </c>
      <c r="C26" s="22" t="n">
        <f aca="false">IF(Series!M22="","n.d.",Series!M22)</f>
        <v>45.9</v>
      </c>
      <c r="D26" s="22" t="str">
        <f aca="false">IF(Series!P22="","n.d.",Series!P22)</f>
        <v>n.d.</v>
      </c>
      <c r="E26" s="22" t="str">
        <f aca="false">IF(Series!AJ22="","n.d.",Series!AJ22)</f>
        <v>n.d.</v>
      </c>
      <c r="F26" s="22" t="str">
        <f aca="false">IF(Series!X22="","n.d.",Series!X22)</f>
        <v>n.d.</v>
      </c>
      <c r="G26" s="28" t="str">
        <f aca="false">IF(Series!AG22="","n.d.",Series!AG22)</f>
        <v>n.d.</v>
      </c>
      <c r="I26" s="4" t="s">
        <v>118</v>
      </c>
      <c r="J26" s="10" t="s">
        <v>119</v>
      </c>
      <c r="K26" s="22" t="n">
        <f aca="false">IF(Series!L22="","n.d.",Series!L22)</f>
        <v>36.3</v>
      </c>
      <c r="L26" s="22" t="str">
        <f aca="false">IF(Series!O22="","n.d.",Series!O22)</f>
        <v>n.d.</v>
      </c>
      <c r="M26" s="22" t="str">
        <f aca="false">IF(Series!AI22="","n.d.",Series!AI22)</f>
        <v>n.d.</v>
      </c>
      <c r="N26" s="22" t="str">
        <f aca="false">IF(Series!W22="","n.d.",Series!W22)</f>
        <v>n.d.</v>
      </c>
      <c r="O26" s="28" t="str">
        <f aca="false">IF(Series!AF22="","n.d.",Series!AF22)</f>
        <v>n.d.</v>
      </c>
    </row>
    <row r="27" customFormat="false" ht="15" hidden="false" customHeight="false" outlineLevel="0" collapsed="false">
      <c r="A27" s="4" t="s">
        <v>120</v>
      </c>
      <c r="B27" s="10" t="s">
        <v>119</v>
      </c>
      <c r="C27" s="22" t="n">
        <f aca="false">IF(Series!M23="","n.d.",Series!M23)</f>
        <v>46</v>
      </c>
      <c r="D27" s="22" t="n">
        <f aca="false">IF(Series!P23="","n.d.",Series!P23)</f>
        <v>21.4</v>
      </c>
      <c r="E27" s="22" t="str">
        <f aca="false">IF(Series!AJ23="","n.d.",Series!AJ23)</f>
        <v>n.d.</v>
      </c>
      <c r="F27" s="22" t="str">
        <f aca="false">IF(Series!X23="","n.d.",Series!X23)</f>
        <v>n.d.</v>
      </c>
      <c r="G27" s="28" t="str">
        <f aca="false">IF(Series!AG23="","n.d.",Series!AG23)</f>
        <v>n.d.</v>
      </c>
      <c r="I27" s="4" t="s">
        <v>120</v>
      </c>
      <c r="J27" s="10" t="s">
        <v>119</v>
      </c>
      <c r="K27" s="22" t="n">
        <f aca="false">IF(Series!L23="","n.d.",Series!L23)</f>
        <v>34.5</v>
      </c>
      <c r="L27" s="22" t="n">
        <f aca="false">IF(Series!O23="","n.d.",Series!O23)</f>
        <v>14.1</v>
      </c>
      <c r="M27" s="22" t="str">
        <f aca="false">IF(Series!AI23="","n.d.",Series!AI23)</f>
        <v>n.d.</v>
      </c>
      <c r="N27" s="22" t="str">
        <f aca="false">IF(Series!W23="","n.d.",Series!W23)</f>
        <v>n.d.</v>
      </c>
      <c r="O27" s="28" t="str">
        <f aca="false">IF(Series!AF23="","n.d.",Series!AF23)</f>
        <v>n.d.</v>
      </c>
    </row>
    <row r="28" customFormat="false" ht="15" hidden="false" customHeight="false" outlineLevel="0" collapsed="false">
      <c r="A28" s="4" t="s">
        <v>121</v>
      </c>
      <c r="B28" s="10" t="s">
        <v>119</v>
      </c>
      <c r="C28" s="22" t="n">
        <f aca="false">IF(Series!M24="","n.d.",Series!M24)</f>
        <v>45.5</v>
      </c>
      <c r="D28" s="22" t="str">
        <f aca="false">IF(Series!P24="","n.d.",Series!P24)</f>
        <v>n.d.</v>
      </c>
      <c r="E28" s="22" t="str">
        <f aca="false">IF(Series!AJ24="","n.d.",Series!AJ24)</f>
        <v>n.d.</v>
      </c>
      <c r="F28" s="22" t="str">
        <f aca="false">IF(Series!X24="","n.d.",Series!X24)</f>
        <v>n.d.</v>
      </c>
      <c r="G28" s="28" t="str">
        <f aca="false">IF(Series!AG24="","n.d.",Series!AG24)</f>
        <v>n.d.</v>
      </c>
      <c r="I28" s="4" t="s">
        <v>121</v>
      </c>
      <c r="J28" s="10" t="s">
        <v>119</v>
      </c>
      <c r="K28" s="22" t="n">
        <f aca="false">IF(Series!L24="","n.d.",Series!L24)</f>
        <v>36.6</v>
      </c>
      <c r="L28" s="22" t="str">
        <f aca="false">IF(Series!O24="","n.d.",Series!O24)</f>
        <v>n.d.</v>
      </c>
      <c r="M28" s="22" t="str">
        <f aca="false">IF(Series!AI24="","n.d.",Series!AI24)</f>
        <v>n.d.</v>
      </c>
      <c r="N28" s="22" t="str">
        <f aca="false">IF(Series!W24="","n.d.",Series!W24)</f>
        <v>n.d.</v>
      </c>
      <c r="O28" s="28" t="str">
        <f aca="false">IF(Series!AF24="","n.d.",Series!AF24)</f>
        <v>n.d.</v>
      </c>
    </row>
    <row r="29" customFormat="false" ht="15" hidden="false" customHeight="false" outlineLevel="0" collapsed="false">
      <c r="A29" s="4" t="s">
        <v>122</v>
      </c>
      <c r="B29" s="10" t="s">
        <v>119</v>
      </c>
      <c r="C29" s="22" t="n">
        <f aca="false">IF(Series!M25="","n.d.",Series!M25)</f>
        <v>48</v>
      </c>
      <c r="D29" s="22" t="n">
        <f aca="false">IF(Series!P25="","n.d.",Series!P25)</f>
        <v>22.2</v>
      </c>
      <c r="E29" s="22" t="str">
        <f aca="false">IF(Series!AJ25="","n.d.",Series!AJ25)</f>
        <v>n.d.</v>
      </c>
      <c r="F29" s="22" t="str">
        <f aca="false">IF(Series!X25="","n.d.",Series!X25)</f>
        <v>n.d.</v>
      </c>
      <c r="G29" s="28" t="str">
        <f aca="false">IF(Series!AG25="","n.d.",Series!AG25)</f>
        <v>n.d.</v>
      </c>
      <c r="I29" s="4" t="s">
        <v>122</v>
      </c>
      <c r="J29" s="10" t="s">
        <v>119</v>
      </c>
      <c r="K29" s="22" t="n">
        <f aca="false">IF(Series!L25="","n.d.",Series!L25)</f>
        <v>37.1</v>
      </c>
      <c r="L29" s="22" t="n">
        <f aca="false">IF(Series!O25="","n.d.",Series!O25)</f>
        <v>14.5</v>
      </c>
      <c r="M29" s="22" t="str">
        <f aca="false">IF(Series!AI25="","n.d.",Series!AI25)</f>
        <v>n.d.</v>
      </c>
      <c r="N29" s="22" t="str">
        <f aca="false">IF(Series!W25="","n.d.",Series!W25)</f>
        <v>n.d.</v>
      </c>
      <c r="O29" s="28" t="str">
        <f aca="false">IF(Series!AF25="","n.d.",Series!AF25)</f>
        <v>n.d.</v>
      </c>
    </row>
    <row r="30" customFormat="false" ht="15" hidden="false" customHeight="false" outlineLevel="0" collapsed="false">
      <c r="A30" s="4" t="s">
        <v>123</v>
      </c>
      <c r="B30" s="10" t="s">
        <v>124</v>
      </c>
      <c r="C30" s="22" t="n">
        <f aca="false">IF(Series!M26="","n.d.",Series!M26)</f>
        <v>46.5</v>
      </c>
      <c r="D30" s="22" t="n">
        <f aca="false">IF(Series!P26="","n.d.",Series!P26)</f>
        <v>20.4</v>
      </c>
      <c r="E30" s="22" t="str">
        <f aca="false">IF(Series!AJ26="","n.d.",Series!AJ26)</f>
        <v>n.d.</v>
      </c>
      <c r="F30" s="22" t="str">
        <f aca="false">IF(Series!X26="","n.d.",Series!X26)</f>
        <v>n.d.</v>
      </c>
      <c r="G30" s="28" t="str">
        <f aca="false">IF(Series!AG26="","n.d.",Series!AG26)</f>
        <v>n.d.</v>
      </c>
      <c r="I30" s="4" t="s">
        <v>123</v>
      </c>
      <c r="J30" s="10" t="s">
        <v>124</v>
      </c>
      <c r="K30" s="22" t="n">
        <f aca="false">IF(Series!L26="","n.d.",Series!L26)</f>
        <v>35.8</v>
      </c>
      <c r="L30" s="22" t="n">
        <f aca="false">IF(Series!O26="","n.d.",Series!O26)</f>
        <v>12.1</v>
      </c>
      <c r="M30" s="22" t="str">
        <f aca="false">IF(Series!AI26="","n.d.",Series!AI26)</f>
        <v>n.d.</v>
      </c>
      <c r="N30" s="22" t="str">
        <f aca="false">IF(Series!W26="","n.d.",Series!W26)</f>
        <v>n.d.</v>
      </c>
      <c r="O30" s="28" t="str">
        <f aca="false">IF(Series!AF26="","n.d.",Series!AF26)</f>
        <v>n.d.</v>
      </c>
    </row>
    <row r="31" customFormat="false" ht="15" hidden="false" customHeight="false" outlineLevel="0" collapsed="false">
      <c r="A31" s="4" t="s">
        <v>126</v>
      </c>
      <c r="B31" s="10" t="s">
        <v>124</v>
      </c>
      <c r="C31" s="22" t="n">
        <f aca="false">IF(Series!M27="","n.d.",Series!M27)</f>
        <v>49.7</v>
      </c>
      <c r="D31" s="22" t="n">
        <f aca="false">IF(Series!P27="","n.d.",Series!P27)</f>
        <v>21.6</v>
      </c>
      <c r="E31" s="22" t="n">
        <f aca="false">IF(Series!AJ27="","n.d.",Series!AJ27)</f>
        <v>53.7</v>
      </c>
      <c r="F31" s="22" t="n">
        <f aca="false">IF(Series!X27="","n.d.",Series!X27)</f>
        <v>38.4</v>
      </c>
      <c r="G31" s="28" t="str">
        <f aca="false">IF(Series!AG27="","n.d.",Series!AG27)</f>
        <v>n.d.</v>
      </c>
      <c r="I31" s="4" t="s">
        <v>126</v>
      </c>
      <c r="J31" s="10" t="s">
        <v>124</v>
      </c>
      <c r="K31" s="22" t="n">
        <f aca="false">IF(Series!L27="","n.d.",Series!L27)</f>
        <v>35.7</v>
      </c>
      <c r="L31" s="22" t="n">
        <f aca="false">IF(Series!O27="","n.d.",Series!O27)</f>
        <v>9.9</v>
      </c>
      <c r="M31" s="22" t="n">
        <f aca="false">IF(Series!AI27="","n.d.",Series!AI27)</f>
        <v>35.3</v>
      </c>
      <c r="N31" s="22" t="n">
        <f aca="false">IF(Series!W27="","n.d.",Series!W27)</f>
        <v>22.7</v>
      </c>
      <c r="O31" s="28" t="str">
        <f aca="false">IF(Series!AF27="","n.d.",Series!AF27)</f>
        <v>n.d.</v>
      </c>
    </row>
    <row r="32" customFormat="false" ht="15" hidden="false" customHeight="false" outlineLevel="0" collapsed="false">
      <c r="A32" s="4" t="s">
        <v>128</v>
      </c>
      <c r="B32" s="10" t="s">
        <v>124</v>
      </c>
      <c r="C32" s="22" t="str">
        <f aca="false">IF(Series!M28="","n.d.",Series!M28)</f>
        <v>n.d.</v>
      </c>
      <c r="D32" s="22" t="str">
        <f aca="false">IF(Series!P28="","n.d.",Series!P28)</f>
        <v>n.d.</v>
      </c>
      <c r="E32" s="22" t="str">
        <f aca="false">IF(Series!AJ28="","n.d.",Series!AJ28)</f>
        <v>n.d.</v>
      </c>
      <c r="F32" s="22" t="str">
        <f aca="false">IF(Series!X28="","n.d.",Series!X28)</f>
        <v>n.d.</v>
      </c>
      <c r="G32" s="28" t="str">
        <f aca="false">IF(Series!AG28="","n.d.",Series!AG28)</f>
        <v>n.d.</v>
      </c>
      <c r="I32" s="4" t="s">
        <v>128</v>
      </c>
      <c r="J32" s="10" t="s">
        <v>124</v>
      </c>
      <c r="K32" s="22" t="str">
        <f aca="false">IF(Series!L28="","n.d.",Series!L28)</f>
        <v>n.d.</v>
      </c>
      <c r="L32" s="22" t="str">
        <f aca="false">IF(Series!O28="","n.d.",Series!O28)</f>
        <v>n.d.</v>
      </c>
      <c r="M32" s="22" t="str">
        <f aca="false">IF(Series!AI28="","n.d.",Series!AI28)</f>
        <v>n.d.</v>
      </c>
      <c r="N32" s="22" t="str">
        <f aca="false">IF(Series!W28="","n.d.",Series!W28)</f>
        <v>n.d.</v>
      </c>
      <c r="O32" s="28" t="str">
        <f aca="false">IF(Series!AF28="","n.d.",Series!AF28)</f>
        <v>n.d.</v>
      </c>
    </row>
    <row r="33" customFormat="false" ht="15" hidden="false" customHeight="false" outlineLevel="0" collapsed="false">
      <c r="A33" s="19" t="s">
        <v>195</v>
      </c>
    </row>
    <row r="35" customFormat="false" ht="15" hidden="false" customHeight="false" outlineLevel="0" collapsed="false">
      <c r="A35" s="3" t="s">
        <v>196</v>
      </c>
    </row>
    <row r="36" customFormat="false" ht="78" hidden="false" customHeight="true" outlineLevel="0" collapsed="false">
      <c r="A36" s="9" t="s">
        <v>48</v>
      </c>
      <c r="B36" s="9" t="s">
        <v>197</v>
      </c>
      <c r="C36" s="9" t="s">
        <v>198</v>
      </c>
      <c r="D36" s="9" t="s">
        <v>169</v>
      </c>
      <c r="E36" s="9" t="s">
        <v>199</v>
      </c>
      <c r="F36" s="9" t="s">
        <v>200</v>
      </c>
      <c r="G36" s="9" t="s">
        <v>170</v>
      </c>
      <c r="H36" s="9" t="s">
        <v>201</v>
      </c>
      <c r="I36" s="9" t="s">
        <v>202</v>
      </c>
      <c r="J36" s="9" t="s">
        <v>203</v>
      </c>
    </row>
    <row r="37" customFormat="false" ht="15" hidden="false" customHeight="false" outlineLevel="0" collapsed="false">
      <c r="A37" s="4" t="s">
        <v>92</v>
      </c>
      <c r="B37" s="15" t="n">
        <f aca="false">IFERROR(ROUND(AVERAGEIFS(Series!$L$5:$L$28,Series!$B$5:$B$28,$A37),3),"n.d.")</f>
        <v>38.7</v>
      </c>
      <c r="C37" s="15" t="n">
        <f aca="false">IFERROR(ROUND(AVERAGEIFS(Series!$M$5:$M$28,Series!$B$5:$B$28,$A37),3),"n.d.")</f>
        <v>46.9</v>
      </c>
      <c r="D37" s="15" t="n">
        <f aca="false">IFERROR(ROUND(AVERAGEIFS(Series!$N$5:$N$28,Series!$B$5:$B$28,$A37),3),"n.d.")</f>
        <v>8.2</v>
      </c>
      <c r="E37" s="15" t="str">
        <f aca="false">IFERROR(ROUND(AVERAGEIFS(Series!$O$5:$O$28,Series!$B$5:$B$28,$A37),3),"n.d.")</f>
        <v>n.d.</v>
      </c>
      <c r="F37" s="15" t="str">
        <f aca="false">IFERROR(ROUND(AVERAGEIFS(Series!$P$5:$P$28,Series!$B$5:$B$28,$A37),3),"n.d.")</f>
        <v>n.d.</v>
      </c>
      <c r="G37" s="15" t="str">
        <f aca="false">IFERROR(ROUND(AVERAGEIFS(Series!$Q$5:$Q$28,Series!$B$5:$B$28,$A37),3),"n.d.")</f>
        <v>n.d.</v>
      </c>
      <c r="H37" s="11" t="n">
        <f aca="false">COUNTIFS(Series!$B$5:$B$28,$A37,Series!$O$5:$O$28,"&lt;&gt;")</f>
        <v>0</v>
      </c>
      <c r="I37" s="15" t="str">
        <f aca="false">IFERROR(ROUND(AVERAGEIFS(Series!$AI$5:$AI$28,Series!$B$5:$B$28,$A37),3),"n.d.")</f>
        <v>n.d.</v>
      </c>
      <c r="J37" s="15" t="str">
        <f aca="false">IFERROR(ROUND(AVERAGEIFS(Series!$AJ$5:$AJ$28,Series!$B$5:$B$28,$A37),3),"n.d.")</f>
        <v>n.d.</v>
      </c>
    </row>
    <row r="38" customFormat="false" ht="15" hidden="false" customHeight="false" outlineLevel="0" collapsed="false">
      <c r="A38" s="4" t="s">
        <v>95</v>
      </c>
      <c r="B38" s="15" t="n">
        <f aca="false">IFERROR(ROUND(AVERAGEIFS(Series!$L$5:$L$28,Series!$B$5:$B$28,$A38),3),"n.d.")</f>
        <v>35.85</v>
      </c>
      <c r="C38" s="15" t="n">
        <f aca="false">IFERROR(ROUND(AVERAGEIFS(Series!$M$5:$M$28,Series!$B$5:$B$28,$A38),3),"n.d.")</f>
        <v>51.75</v>
      </c>
      <c r="D38" s="15" t="n">
        <f aca="false">IFERROR(ROUND(AVERAGEIFS(Series!$N$5:$N$28,Series!$B$5:$B$28,$A38),3),"n.d.")</f>
        <v>15.9</v>
      </c>
      <c r="E38" s="15" t="str">
        <f aca="false">IFERROR(ROUND(AVERAGEIFS(Series!$O$5:$O$28,Series!$B$5:$B$28,$A38),3),"n.d.")</f>
        <v>n.d.</v>
      </c>
      <c r="F38" s="15" t="str">
        <f aca="false">IFERROR(ROUND(AVERAGEIFS(Series!$P$5:$P$28,Series!$B$5:$B$28,$A38),3),"n.d.")</f>
        <v>n.d.</v>
      </c>
      <c r="G38" s="15" t="str">
        <f aca="false">IFERROR(ROUND(AVERAGEIFS(Series!$Q$5:$Q$28,Series!$B$5:$B$28,$A38),3),"n.d.")</f>
        <v>n.d.</v>
      </c>
      <c r="H38" s="11" t="n">
        <f aca="false">COUNTIFS(Series!$B$5:$B$28,$A38,Series!$O$5:$O$28,"&lt;&gt;")</f>
        <v>0</v>
      </c>
      <c r="I38" s="15" t="str">
        <f aca="false">IFERROR(ROUND(AVERAGEIFS(Series!$AI$5:$AI$28,Series!$B$5:$B$28,$A38),3),"n.d.")</f>
        <v>n.d.</v>
      </c>
      <c r="J38" s="15" t="str">
        <f aca="false">IFERROR(ROUND(AVERAGEIFS(Series!$AJ$5:$AJ$28,Series!$B$5:$B$28,$A38),3),"n.d.")</f>
        <v>n.d.</v>
      </c>
    </row>
    <row r="39" customFormat="false" ht="15" hidden="false" customHeight="false" outlineLevel="0" collapsed="false">
      <c r="A39" s="4" t="s">
        <v>101</v>
      </c>
      <c r="B39" s="15" t="n">
        <f aca="false">IFERROR(ROUND(AVERAGEIFS(Series!$L$5:$L$28,Series!$B$5:$B$28,$A39),3),"n.d.")</f>
        <v>38.425</v>
      </c>
      <c r="C39" s="15" t="n">
        <f aca="false">IFERROR(ROUND(AVERAGEIFS(Series!$M$5:$M$28,Series!$B$5:$B$28,$A39),3),"n.d.")</f>
        <v>45.9</v>
      </c>
      <c r="D39" s="15" t="n">
        <f aca="false">IFERROR(ROUND(AVERAGEIFS(Series!$N$5:$N$28,Series!$B$5:$B$28,$A39),3),"n.d.")</f>
        <v>7.475</v>
      </c>
      <c r="E39" s="15" t="n">
        <f aca="false">IFERROR(ROUND(AVERAGEIFS(Series!$O$5:$O$28,Series!$B$5:$B$28,$A39),3),"n.d.")</f>
        <v>13</v>
      </c>
      <c r="F39" s="15" t="n">
        <f aca="false">IFERROR(ROUND(AVERAGEIFS(Series!$P$5:$P$28,Series!$B$5:$B$28,$A39),3),"n.d.")</f>
        <v>20.5</v>
      </c>
      <c r="G39" s="15" t="n">
        <f aca="false">IFERROR(ROUND(AVERAGEIFS(Series!$Q$5:$Q$28,Series!$B$5:$B$28,$A39),3),"n.d.")</f>
        <v>7.5</v>
      </c>
      <c r="H39" s="11" t="n">
        <f aca="false">COUNTIFS(Series!$B$5:$B$28,$A39,Series!$O$5:$O$28,"&lt;&gt;")</f>
        <v>1</v>
      </c>
      <c r="I39" s="15" t="str">
        <f aca="false">IFERROR(ROUND(AVERAGEIFS(Series!$AI$5:$AI$28,Series!$B$5:$B$28,$A39),3),"n.d.")</f>
        <v>n.d.</v>
      </c>
      <c r="J39" s="15" t="str">
        <f aca="false">IFERROR(ROUND(AVERAGEIFS(Series!$AJ$5:$AJ$28,Series!$B$5:$B$28,$A39),3),"n.d.")</f>
        <v>n.d.</v>
      </c>
    </row>
    <row r="40" customFormat="false" ht="15" hidden="false" customHeight="false" outlineLevel="0" collapsed="false">
      <c r="A40" s="4" t="s">
        <v>106</v>
      </c>
      <c r="B40" s="15" t="n">
        <f aca="false">IFERROR(ROUND(AVERAGEIFS(Series!$L$5:$L$28,Series!$B$5:$B$28,$A40),3),"n.d.")</f>
        <v>36.975</v>
      </c>
      <c r="C40" s="15" t="n">
        <f aca="false">IFERROR(ROUND(AVERAGEIFS(Series!$M$5:$M$28,Series!$B$5:$B$28,$A40),3),"n.d.")</f>
        <v>43.725</v>
      </c>
      <c r="D40" s="15" t="n">
        <f aca="false">IFERROR(ROUND(AVERAGEIFS(Series!$N$5:$N$28,Series!$B$5:$B$28,$A40),3),"n.d.")</f>
        <v>6.75</v>
      </c>
      <c r="E40" s="15" t="n">
        <f aca="false">IFERROR(ROUND(AVERAGEIFS(Series!$O$5:$O$28,Series!$B$5:$B$28,$A40),3),"n.d.")</f>
        <v>14.65</v>
      </c>
      <c r="F40" s="15" t="n">
        <f aca="false">IFERROR(ROUND(AVERAGEIFS(Series!$P$5:$P$28,Series!$B$5:$B$28,$A40),3),"n.d.")</f>
        <v>20.1</v>
      </c>
      <c r="G40" s="15" t="n">
        <f aca="false">IFERROR(ROUND(AVERAGEIFS(Series!$Q$5:$Q$28,Series!$B$5:$B$28,$A40),3),"n.d.")</f>
        <v>5.45</v>
      </c>
      <c r="H40" s="11" t="n">
        <f aca="false">COUNTIFS(Series!$B$5:$B$28,$A40,Series!$O$5:$O$28,"&lt;&gt;")</f>
        <v>2</v>
      </c>
      <c r="I40" s="15" t="str">
        <f aca="false">IFERROR(ROUND(AVERAGEIFS(Series!$AI$5:$AI$28,Series!$B$5:$B$28,$A40),3),"n.d.")</f>
        <v>n.d.</v>
      </c>
      <c r="J40" s="15" t="str">
        <f aca="false">IFERROR(ROUND(AVERAGEIFS(Series!$AJ$5:$AJ$28,Series!$B$5:$B$28,$A40),3),"n.d.")</f>
        <v>n.d.</v>
      </c>
    </row>
    <row r="41" customFormat="false" ht="15" hidden="false" customHeight="false" outlineLevel="0" collapsed="false">
      <c r="A41" s="4" t="s">
        <v>112</v>
      </c>
      <c r="B41" s="15" t="n">
        <f aca="false">IFERROR(ROUND(AVERAGEIFS(Series!$L$5:$L$28,Series!$B$5:$B$28,$A41),3),"n.d.")</f>
        <v>37.9</v>
      </c>
      <c r="C41" s="15" t="n">
        <f aca="false">IFERROR(ROUND(AVERAGEIFS(Series!$M$5:$M$28,Series!$B$5:$B$28,$A41),3),"n.d.")</f>
        <v>47.05</v>
      </c>
      <c r="D41" s="15" t="n">
        <f aca="false">IFERROR(ROUND(AVERAGEIFS(Series!$N$5:$N$28,Series!$B$5:$B$28,$A41),3),"n.d.")</f>
        <v>9.15</v>
      </c>
      <c r="E41" s="15" t="n">
        <f aca="false">IFERROR(ROUND(AVERAGEIFS(Series!$O$5:$O$28,Series!$B$5:$B$28,$A41),3),"n.d.")</f>
        <v>12.8</v>
      </c>
      <c r="F41" s="15" t="n">
        <f aca="false">IFERROR(ROUND(AVERAGEIFS(Series!$P$5:$P$28,Series!$B$5:$B$28,$A41),3),"n.d.")</f>
        <v>21.267</v>
      </c>
      <c r="G41" s="15" t="n">
        <f aca="false">IFERROR(ROUND(AVERAGEIFS(Series!$Q$5:$Q$28,Series!$B$5:$B$28,$A41),3),"n.d.")</f>
        <v>8.467</v>
      </c>
      <c r="H41" s="11" t="n">
        <f aca="false">COUNTIFS(Series!$B$5:$B$28,$A41,Series!$O$5:$O$28,"&lt;&gt;")</f>
        <v>3</v>
      </c>
      <c r="I41" s="15" t="str">
        <f aca="false">IFERROR(ROUND(AVERAGEIFS(Series!$AI$5:$AI$28,Series!$B$5:$B$28,$A41),3),"n.d.")</f>
        <v>n.d.</v>
      </c>
      <c r="J41" s="15" t="str">
        <f aca="false">IFERROR(ROUND(AVERAGEIFS(Series!$AJ$5:$AJ$28,Series!$B$5:$B$28,$A41),3),"n.d.")</f>
        <v>n.d.</v>
      </c>
    </row>
    <row r="42" customFormat="false" ht="15" hidden="false" customHeight="false" outlineLevel="0" collapsed="false">
      <c r="A42" s="4" t="s">
        <v>119</v>
      </c>
      <c r="B42" s="15" t="n">
        <f aca="false">IFERROR(ROUND(AVERAGEIFS(Series!$L$5:$L$28,Series!$B$5:$B$28,$A42),3),"n.d.")</f>
        <v>36.125</v>
      </c>
      <c r="C42" s="15" t="n">
        <f aca="false">IFERROR(ROUND(AVERAGEIFS(Series!$M$5:$M$28,Series!$B$5:$B$28,$A42),3),"n.d.")</f>
        <v>46.35</v>
      </c>
      <c r="D42" s="15" t="n">
        <f aca="false">IFERROR(ROUND(AVERAGEIFS(Series!$N$5:$N$28,Series!$B$5:$B$28,$A42),3),"n.d.")</f>
        <v>10.225</v>
      </c>
      <c r="E42" s="15" t="n">
        <f aca="false">IFERROR(ROUND(AVERAGEIFS(Series!$O$5:$O$28,Series!$B$5:$B$28,$A42),3),"n.d.")</f>
        <v>14.3</v>
      </c>
      <c r="F42" s="15" t="n">
        <f aca="false">IFERROR(ROUND(AVERAGEIFS(Series!$P$5:$P$28,Series!$B$5:$B$28,$A42),3),"n.d.")</f>
        <v>21.8</v>
      </c>
      <c r="G42" s="15" t="n">
        <f aca="false">IFERROR(ROUND(AVERAGEIFS(Series!$Q$5:$Q$28,Series!$B$5:$B$28,$A42),3),"n.d.")</f>
        <v>7.5</v>
      </c>
      <c r="H42" s="11" t="n">
        <f aca="false">COUNTIFS(Series!$B$5:$B$28,$A42,Series!$O$5:$O$28,"&lt;&gt;")</f>
        <v>2</v>
      </c>
      <c r="I42" s="15" t="str">
        <f aca="false">IFERROR(ROUND(AVERAGEIFS(Series!$AI$5:$AI$28,Series!$B$5:$B$28,$A42),3),"n.d.")</f>
        <v>n.d.</v>
      </c>
      <c r="J42" s="15" t="str">
        <f aca="false">IFERROR(ROUND(AVERAGEIFS(Series!$AJ$5:$AJ$28,Series!$B$5:$B$28,$A42),3),"n.d.")</f>
        <v>n.d.</v>
      </c>
    </row>
    <row r="43" customFormat="false" ht="15" hidden="false" customHeight="false" outlineLevel="0" collapsed="false">
      <c r="A43" s="4" t="s">
        <v>124</v>
      </c>
      <c r="B43" s="15" t="n">
        <f aca="false">IFERROR(ROUND(AVERAGEIFS(Series!$L$5:$L$28,Series!$B$5:$B$28,$A43),3),"n.d.")</f>
        <v>35.75</v>
      </c>
      <c r="C43" s="15" t="n">
        <f aca="false">IFERROR(ROUND(AVERAGEIFS(Series!$M$5:$M$28,Series!$B$5:$B$28,$A43),3),"n.d.")</f>
        <v>48.1</v>
      </c>
      <c r="D43" s="15" t="n">
        <f aca="false">IFERROR(ROUND(AVERAGEIFS(Series!$N$5:$N$28,Series!$B$5:$B$28,$A43),3),"n.d.")</f>
        <v>12.35</v>
      </c>
      <c r="E43" s="15" t="n">
        <f aca="false">IFERROR(ROUND(AVERAGEIFS(Series!$O$5:$O$28,Series!$B$5:$B$28,$A43),3),"n.d.")</f>
        <v>11</v>
      </c>
      <c r="F43" s="15" t="n">
        <f aca="false">IFERROR(ROUND(AVERAGEIFS(Series!$P$5:$P$28,Series!$B$5:$B$28,$A43),3),"n.d.")</f>
        <v>21</v>
      </c>
      <c r="G43" s="15" t="n">
        <f aca="false">IFERROR(ROUND(AVERAGEIFS(Series!$Q$5:$Q$28,Series!$B$5:$B$28,$A43),3),"n.d.")</f>
        <v>10</v>
      </c>
      <c r="H43" s="11" t="n">
        <f aca="false">COUNTIFS(Series!$B$5:$B$28,$A43,Series!$O$5:$O$28,"&lt;&gt;")</f>
        <v>2</v>
      </c>
      <c r="I43" s="15" t="n">
        <f aca="false">IFERROR(ROUND(AVERAGEIFS(Series!$AI$5:$AI$28,Series!$B$5:$B$28,$A43),3),"n.d.")</f>
        <v>35.3</v>
      </c>
      <c r="J43" s="15" t="n">
        <f aca="false">IFERROR(ROUND(AVERAGEIFS(Series!$AJ$5:$AJ$28,Series!$B$5:$B$28,$A43),3),"n.d.")</f>
        <v>53.7</v>
      </c>
    </row>
    <row r="44" customFormat="false" ht="15" hidden="false" customHeight="false" outlineLevel="0" collapsed="false">
      <c r="A44" s="19" t="s">
        <v>204</v>
      </c>
    </row>
    <row r="63" customFormat="false" ht="15" hidden="false" customHeight="false" outlineLevel="0" collapsed="false">
      <c r="A63" s="21" t="s">
        <v>205</v>
      </c>
    </row>
    <row r="82" customFormat="false" ht="15" hidden="false" customHeight="false" outlineLevel="0" collapsed="false">
      <c r="A82" s="21" t="s">
        <v>206</v>
      </c>
    </row>
    <row r="101" customFormat="false" ht="15" hidden="false" customHeight="false" outlineLevel="0" collapsed="false">
      <c r="A101" s="21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11" min="5" style="0" width="12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209</v>
      </c>
    </row>
    <row r="4" customFormat="false" ht="15" hidden="false" customHeight="false" outlineLevel="0" collapsed="false">
      <c r="A4" s="3" t="s">
        <v>210</v>
      </c>
    </row>
    <row r="5" customFormat="false" ht="63.75" hidden="false" customHeight="true" outlineLevel="0" collapsed="false">
      <c r="A5" s="9" t="s">
        <v>47</v>
      </c>
      <c r="B5" s="9" t="s">
        <v>48</v>
      </c>
      <c r="C5" s="9" t="s">
        <v>137</v>
      </c>
      <c r="D5" s="9" t="s">
        <v>211</v>
      </c>
      <c r="E5" s="9" t="s">
        <v>212</v>
      </c>
      <c r="F5" s="9" t="s">
        <v>213</v>
      </c>
      <c r="G5" s="9" t="s">
        <v>214</v>
      </c>
      <c r="H5" s="9" t="s">
        <v>215</v>
      </c>
      <c r="I5" s="9" t="s">
        <v>202</v>
      </c>
      <c r="J5" s="9" t="s">
        <v>203</v>
      </c>
      <c r="K5" s="9" t="s">
        <v>216</v>
      </c>
    </row>
    <row r="6" customFormat="false" ht="15" hidden="false" customHeight="false" outlineLevel="0" collapsed="false">
      <c r="A6" s="4" t="s">
        <v>148</v>
      </c>
      <c r="B6" s="10" t="s">
        <v>92</v>
      </c>
      <c r="C6" s="29" t="s">
        <v>217</v>
      </c>
      <c r="D6" s="26" t="s">
        <v>175</v>
      </c>
      <c r="E6" s="26" t="s">
        <v>175</v>
      </c>
      <c r="F6" s="26" t="s">
        <v>175</v>
      </c>
      <c r="G6" s="26" t="s">
        <v>175</v>
      </c>
      <c r="H6" s="22" t="n">
        <f aca="false">'Muestra anterior'!H5</f>
        <v>61.1</v>
      </c>
      <c r="I6" s="26" t="s">
        <v>175</v>
      </c>
      <c r="J6" s="26" t="s">
        <v>175</v>
      </c>
      <c r="K6" s="26" t="s">
        <v>175</v>
      </c>
    </row>
    <row r="7" customFormat="false" ht="15" hidden="false" customHeight="false" outlineLevel="0" collapsed="false">
      <c r="A7" s="4" t="s">
        <v>150</v>
      </c>
      <c r="B7" s="10" t="s">
        <v>92</v>
      </c>
      <c r="C7" s="29" t="s">
        <v>217</v>
      </c>
      <c r="D7" s="26" t="s">
        <v>175</v>
      </c>
      <c r="E7" s="26" t="s">
        <v>175</v>
      </c>
      <c r="F7" s="26" t="s">
        <v>175</v>
      </c>
      <c r="G7" s="26" t="s">
        <v>175</v>
      </c>
      <c r="H7" s="22" t="n">
        <f aca="false">'Muestra anterior'!H6</f>
        <v>38.5</v>
      </c>
      <c r="I7" s="26" t="s">
        <v>175</v>
      </c>
      <c r="J7" s="26" t="s">
        <v>175</v>
      </c>
      <c r="K7" s="26" t="s">
        <v>175</v>
      </c>
    </row>
    <row r="8" customFormat="false" ht="15" hidden="false" customHeight="false" outlineLevel="0" collapsed="false">
      <c r="A8" s="4" t="s">
        <v>151</v>
      </c>
      <c r="B8" s="10" t="s">
        <v>92</v>
      </c>
      <c r="C8" s="29" t="s">
        <v>217</v>
      </c>
      <c r="D8" s="26" t="s">
        <v>175</v>
      </c>
      <c r="E8" s="26" t="s">
        <v>175</v>
      </c>
      <c r="F8" s="26" t="s">
        <v>175</v>
      </c>
      <c r="G8" s="26" t="s">
        <v>175</v>
      </c>
      <c r="H8" s="22" t="n">
        <f aca="false">'Muestra anterior'!H7</f>
        <v>50.8</v>
      </c>
      <c r="I8" s="26" t="s">
        <v>175</v>
      </c>
      <c r="J8" s="26" t="s">
        <v>175</v>
      </c>
      <c r="K8" s="26" t="s">
        <v>175</v>
      </c>
    </row>
    <row r="9" customFormat="false" ht="15" hidden="false" customHeight="false" outlineLevel="0" collapsed="false">
      <c r="A9" s="4" t="s">
        <v>91</v>
      </c>
      <c r="B9" s="10" t="s">
        <v>92</v>
      </c>
      <c r="C9" s="29" t="s">
        <v>218</v>
      </c>
      <c r="D9" s="22" t="str">
        <f aca="false">IF(Series!AA5="","n.d.",Series!AA5)</f>
        <v>n.d.</v>
      </c>
      <c r="E9" s="28" t="str">
        <f aca="false">IF(Series!AE5="","n.d.",Series!AE5)</f>
        <v>n.d.</v>
      </c>
      <c r="F9" s="28" t="str">
        <f aca="false">IF(Series!AF5="","n.d.",Series!AF5)</f>
        <v>n.d.</v>
      </c>
      <c r="G9" s="28" t="str">
        <f aca="false">IF(Series!AG5="","n.d.",Series!AG5)</f>
        <v>n.d.</v>
      </c>
      <c r="H9" s="22" t="n">
        <f aca="false">'Muestra anterior'!H8</f>
        <v>45.1</v>
      </c>
      <c r="I9" s="22" t="str">
        <f aca="false">IF(Series!AI5="","n.d.",Series!AI5)</f>
        <v>n.d.</v>
      </c>
      <c r="J9" s="22" t="str">
        <f aca="false">IF(Series!AJ5="","n.d.",Series!AJ5)</f>
        <v>n.d.</v>
      </c>
      <c r="K9" s="22" t="str">
        <f aca="false">IF(Series!AK5="","n.d.",Series!AK5)</f>
        <v>n.d.</v>
      </c>
    </row>
    <row r="10" customFormat="false" ht="15" hidden="false" customHeight="false" outlineLevel="0" collapsed="false">
      <c r="A10" s="4" t="s">
        <v>94</v>
      </c>
      <c r="B10" s="10" t="s">
        <v>95</v>
      </c>
      <c r="C10" s="29" t="s">
        <v>218</v>
      </c>
      <c r="D10" s="22" t="str">
        <f aca="false">IF(Series!AA6="","n.d.",Series!AA6)</f>
        <v>n.d.</v>
      </c>
      <c r="E10" s="28" t="str">
        <f aca="false">IF(Series!AE6="","n.d.",Series!AE6)</f>
        <v>n.d.</v>
      </c>
      <c r="F10" s="28" t="str">
        <f aca="false">IF(Series!AF6="","n.d.",Series!AF6)</f>
        <v>n.d.</v>
      </c>
      <c r="G10" s="28" t="str">
        <f aca="false">IF(Series!AG6="","n.d.",Series!AG6)</f>
        <v>n.d.</v>
      </c>
      <c r="H10" s="22" t="n">
        <f aca="false">'Muestra anterior'!H9</f>
        <v>52.8</v>
      </c>
      <c r="I10" s="22" t="str">
        <f aca="false">IF(Series!AI6="","n.d.",Series!AI6)</f>
        <v>n.d.</v>
      </c>
      <c r="J10" s="22" t="str">
        <f aca="false">IF(Series!AJ6="","n.d.",Series!AJ6)</f>
        <v>n.d.</v>
      </c>
      <c r="K10" s="22" t="str">
        <f aca="false">IF(Series!AK6="","n.d.",Series!AK6)</f>
        <v>n.d.</v>
      </c>
    </row>
    <row r="11" customFormat="false" ht="15" hidden="false" customHeight="false" outlineLevel="0" collapsed="false">
      <c r="A11" s="4" t="s">
        <v>96</v>
      </c>
      <c r="B11" s="10" t="s">
        <v>95</v>
      </c>
      <c r="C11" s="29" t="s">
        <v>218</v>
      </c>
      <c r="D11" s="22" t="str">
        <f aca="false">IF(Series!AA7="","n.d.",Series!AA7)</f>
        <v>n.d.</v>
      </c>
      <c r="E11" s="28" t="str">
        <f aca="false">IF(Series!AE7="","n.d.",Series!AE7)</f>
        <v>n.d.</v>
      </c>
      <c r="F11" s="28" t="str">
        <f aca="false">IF(Series!AF7="","n.d.",Series!AF7)</f>
        <v>n.d.</v>
      </c>
      <c r="G11" s="28" t="str">
        <f aca="false">IF(Series!AG7="","n.d.",Series!AG7)</f>
        <v>n.d.</v>
      </c>
      <c r="H11" s="22" t="n">
        <f aca="false">'Muestra anterior'!H10</f>
        <v>32.6</v>
      </c>
      <c r="I11" s="22" t="str">
        <f aca="false">IF(Series!AI7="","n.d.",Series!AI7)</f>
        <v>n.d.</v>
      </c>
      <c r="J11" s="22" t="str">
        <f aca="false">IF(Series!AJ7="","n.d.",Series!AJ7)</f>
        <v>n.d.</v>
      </c>
      <c r="K11" s="22" t="str">
        <f aca="false">IF(Series!AK7="","n.d.",Series!AK7)</f>
        <v>n.d.</v>
      </c>
    </row>
    <row r="12" customFormat="false" ht="15" hidden="false" customHeight="false" outlineLevel="0" collapsed="false">
      <c r="A12" s="4" t="s">
        <v>98</v>
      </c>
      <c r="B12" s="10" t="s">
        <v>95</v>
      </c>
      <c r="C12" s="29" t="s">
        <v>218</v>
      </c>
      <c r="D12" s="22" t="str">
        <f aca="false">IF(Series!AA8="","n.d.",Series!AA8)</f>
        <v>n.d.</v>
      </c>
      <c r="E12" s="28" t="str">
        <f aca="false">IF(Series!AE8="","n.d.",Series!AE8)</f>
        <v>n.d.</v>
      </c>
      <c r="F12" s="28" t="str">
        <f aca="false">IF(Series!AF8="","n.d.",Series!AF8)</f>
        <v>n.d.</v>
      </c>
      <c r="G12" s="28" t="str">
        <f aca="false">IF(Series!AG8="","n.d.",Series!AG8)</f>
        <v>n.d.</v>
      </c>
      <c r="H12" s="22" t="n">
        <f aca="false">'Muestra anterior'!H11</f>
        <v>33.8</v>
      </c>
      <c r="I12" s="22" t="str">
        <f aca="false">IF(Series!AI8="","n.d.",Series!AI8)</f>
        <v>n.d.</v>
      </c>
      <c r="J12" s="22" t="str">
        <f aca="false">IF(Series!AJ8="","n.d.",Series!AJ8)</f>
        <v>n.d.</v>
      </c>
      <c r="K12" s="22" t="str">
        <f aca="false">IF(Series!AK8="","n.d.",Series!AK8)</f>
        <v>n.d.</v>
      </c>
    </row>
    <row r="13" customFormat="false" ht="15" hidden="false" customHeight="false" outlineLevel="0" collapsed="false">
      <c r="A13" s="4" t="s">
        <v>99</v>
      </c>
      <c r="B13" s="10" t="s">
        <v>95</v>
      </c>
      <c r="C13" s="29" t="s">
        <v>218</v>
      </c>
      <c r="D13" s="22" t="str">
        <f aca="false">IF(Series!AA9="","n.d.",Series!AA9)</f>
        <v>n.d.</v>
      </c>
      <c r="E13" s="28" t="str">
        <f aca="false">IF(Series!AE9="","n.d.",Series!AE9)</f>
        <v>n.d.</v>
      </c>
      <c r="F13" s="28" t="str">
        <f aca="false">IF(Series!AF9="","n.d.",Series!AF9)</f>
        <v>n.d.</v>
      </c>
      <c r="G13" s="28" t="str">
        <f aca="false">IF(Series!AG9="","n.d.",Series!AG9)</f>
        <v>n.d.</v>
      </c>
      <c r="H13" s="22" t="n">
        <f aca="false">'Muestra anterior'!H12</f>
        <v>27.7</v>
      </c>
      <c r="I13" s="22" t="str">
        <f aca="false">IF(Series!AI9="","n.d.",Series!AI9)</f>
        <v>n.d.</v>
      </c>
      <c r="J13" s="22" t="str">
        <f aca="false">IF(Series!AJ9="","n.d.",Series!AJ9)</f>
        <v>n.d.</v>
      </c>
      <c r="K13" s="22" t="str">
        <f aca="false">IF(Series!AK9="","n.d.",Series!AK9)</f>
        <v>n.d.</v>
      </c>
    </row>
    <row r="14" customFormat="false" ht="15" hidden="false" customHeight="false" outlineLevel="0" collapsed="false">
      <c r="A14" s="4" t="s">
        <v>100</v>
      </c>
      <c r="B14" s="10" t="s">
        <v>101</v>
      </c>
      <c r="C14" s="29" t="s">
        <v>218</v>
      </c>
      <c r="D14" s="22" t="str">
        <f aca="false">IF(Series!AA10="","n.d.",Series!AA10)</f>
        <v>n.d.</v>
      </c>
      <c r="E14" s="28" t="str">
        <f aca="false">IF(Series!AE10="","n.d.",Series!AE10)</f>
        <v>n.d.</v>
      </c>
      <c r="F14" s="28" t="str">
        <f aca="false">IF(Series!AF10="","n.d.",Series!AF10)</f>
        <v>n.d.</v>
      </c>
      <c r="G14" s="28" t="str">
        <f aca="false">IF(Series!AG10="","n.d.",Series!AG10)</f>
        <v>n.d.</v>
      </c>
      <c r="H14" s="22" t="n">
        <f aca="false">'Muestra anterior'!H13</f>
        <v>23.6</v>
      </c>
      <c r="I14" s="22" t="str">
        <f aca="false">IF(Series!AI10="","n.d.",Series!AI10)</f>
        <v>n.d.</v>
      </c>
      <c r="J14" s="22" t="str">
        <f aca="false">IF(Series!AJ10="","n.d.",Series!AJ10)</f>
        <v>n.d.</v>
      </c>
      <c r="K14" s="22" t="str">
        <f aca="false">IF(Series!AK10="","n.d.",Series!AK10)</f>
        <v>n.d.</v>
      </c>
    </row>
    <row r="15" customFormat="false" ht="15" hidden="false" customHeight="false" outlineLevel="0" collapsed="false">
      <c r="A15" s="4" t="s">
        <v>102</v>
      </c>
      <c r="B15" s="10" t="s">
        <v>101</v>
      </c>
      <c r="C15" s="29" t="s">
        <v>218</v>
      </c>
      <c r="D15" s="22" t="str">
        <f aca="false">IF(Series!AA11="","n.d.",Series!AA11)</f>
        <v>n.d.</v>
      </c>
      <c r="E15" s="28" t="str">
        <f aca="false">IF(Series!AE11="","n.d.",Series!AE11)</f>
        <v>n.d.</v>
      </c>
      <c r="F15" s="28" t="str">
        <f aca="false">IF(Series!AF11="","n.d.",Series!AF11)</f>
        <v>n.d.</v>
      </c>
      <c r="G15" s="28" t="str">
        <f aca="false">IF(Series!AG11="","n.d.",Series!AG11)</f>
        <v>n.d.</v>
      </c>
      <c r="H15" s="22" t="n">
        <f aca="false">'Muestra anterior'!H14</f>
        <v>19.2</v>
      </c>
      <c r="I15" s="22" t="str">
        <f aca="false">IF(Series!AI11="","n.d.",Series!AI11)</f>
        <v>n.d.</v>
      </c>
      <c r="J15" s="22" t="str">
        <f aca="false">IF(Series!AJ11="","n.d.",Series!AJ11)</f>
        <v>n.d.</v>
      </c>
      <c r="K15" s="22" t="str">
        <f aca="false">IF(Series!AK11="","n.d.",Series!AK11)</f>
        <v>n.d.</v>
      </c>
    </row>
    <row r="16" customFormat="false" ht="15" hidden="false" customHeight="false" outlineLevel="0" collapsed="false">
      <c r="A16" s="4" t="s">
        <v>103</v>
      </c>
      <c r="B16" s="10" t="s">
        <v>101</v>
      </c>
      <c r="C16" s="29" t="s">
        <v>152</v>
      </c>
      <c r="D16" s="22" t="n">
        <f aca="false">IF(Series!AA12="","n.d.",Series!AA12)</f>
        <v>1.4</v>
      </c>
      <c r="E16" s="28" t="n">
        <f aca="false">IF(Series!AE12="","n.d.",Series!AE12)</f>
        <v>0.0782122905027933</v>
      </c>
      <c r="F16" s="28" t="str">
        <f aca="false">IF(Series!AF12="","n.d.",Series!AF12)</f>
        <v>n.d.</v>
      </c>
      <c r="G16" s="28" t="str">
        <f aca="false">IF(Series!AG12="","n.d.",Series!AG12)</f>
        <v>n.d.</v>
      </c>
      <c r="H16" s="22" t="n">
        <f aca="false">IF(Series!AH12="","n.d.",Series!AH12)</f>
        <v>23.8</v>
      </c>
      <c r="I16" s="22" t="str">
        <f aca="false">IF(Series!AI12="","n.d.",Series!AI12)</f>
        <v>n.d.</v>
      </c>
      <c r="J16" s="22" t="str">
        <f aca="false">IF(Series!AJ12="","n.d.",Series!AJ12)</f>
        <v>n.d.</v>
      </c>
      <c r="K16" s="22" t="n">
        <f aca="false">IF(Series!AK12="","n.d.",Series!AK12)</f>
        <v>36.4</v>
      </c>
    </row>
    <row r="17" customFormat="false" ht="15" hidden="false" customHeight="false" outlineLevel="0" collapsed="false">
      <c r="A17" s="4" t="s">
        <v>104</v>
      </c>
      <c r="B17" s="10" t="s">
        <v>101</v>
      </c>
      <c r="C17" s="29" t="s">
        <v>152</v>
      </c>
      <c r="D17" s="22" t="n">
        <f aca="false">IF(Series!AA13="","n.d.",Series!AA13)</f>
        <v>3.5</v>
      </c>
      <c r="E17" s="28" t="n">
        <f aca="false">IF(Series!AE13="","n.d.",Series!AE13)</f>
        <v>0.202312138728324</v>
      </c>
      <c r="F17" s="28" t="str">
        <f aca="false">IF(Series!AF13="","n.d.",Series!AF13)</f>
        <v>n.d.</v>
      </c>
      <c r="G17" s="28" t="str">
        <f aca="false">IF(Series!AG13="","n.d.",Series!AG13)</f>
        <v>n.d.</v>
      </c>
      <c r="H17" s="22" t="n">
        <f aca="false">IF(Series!AH13="","n.d.",Series!AH13)</f>
        <v>23.7</v>
      </c>
      <c r="I17" s="22" t="str">
        <f aca="false">IF(Series!AI13="","n.d.",Series!AI13)</f>
        <v>n.d.</v>
      </c>
      <c r="J17" s="22" t="str">
        <f aca="false">IF(Series!AJ13="","n.d.",Series!AJ13)</f>
        <v>n.d.</v>
      </c>
      <c r="K17" s="22" t="n">
        <f aca="false">IF(Series!AK13="","n.d.",Series!AK13)</f>
        <v>35.2</v>
      </c>
    </row>
    <row r="18" customFormat="false" ht="15" hidden="false" customHeight="false" outlineLevel="0" collapsed="false">
      <c r="A18" s="4" t="s">
        <v>105</v>
      </c>
      <c r="B18" s="10" t="s">
        <v>106</v>
      </c>
      <c r="C18" s="29" t="s">
        <v>152</v>
      </c>
      <c r="D18" s="22" t="n">
        <f aca="false">IF(Series!AA14="","n.d.",Series!AA14)</f>
        <v>2</v>
      </c>
      <c r="E18" s="28" t="n">
        <f aca="false">IF(Series!AE14="","n.d.",Series!AE14)</f>
        <v>0.111731843575419</v>
      </c>
      <c r="F18" s="28" t="str">
        <f aca="false">IF(Series!AF14="","n.d.",Series!AF14)</f>
        <v>n.d.</v>
      </c>
      <c r="G18" s="28" t="str">
        <f aca="false">IF(Series!AG14="","n.d.",Series!AG14)</f>
        <v>n.d.</v>
      </c>
      <c r="H18" s="22" t="n">
        <f aca="false">IF(Series!AH14="","n.d.",Series!AH14)</f>
        <v>28.9</v>
      </c>
      <c r="I18" s="22" t="str">
        <f aca="false">IF(Series!AI14="","n.d.",Series!AI14)</f>
        <v>n.d.</v>
      </c>
      <c r="J18" s="22" t="str">
        <f aca="false">IF(Series!AJ14="","n.d.",Series!AJ14)</f>
        <v>n.d.</v>
      </c>
      <c r="K18" s="22" t="n">
        <f aca="false">IF(Series!AK14="","n.d.",Series!AK14)</f>
        <v>32.8</v>
      </c>
    </row>
    <row r="19" customFormat="false" ht="15" hidden="false" customHeight="false" outlineLevel="0" collapsed="false">
      <c r="A19" s="4" t="s">
        <v>107</v>
      </c>
      <c r="B19" s="10" t="s">
        <v>106</v>
      </c>
      <c r="C19" s="29" t="s">
        <v>152</v>
      </c>
      <c r="D19" s="22" t="n">
        <f aca="false">IF(Series!AA15="","n.d.",Series!AA15)</f>
        <v>0.6</v>
      </c>
      <c r="E19" s="28" t="n">
        <f aca="false">IF(Series!AE15="","n.d.",Series!AE15)</f>
        <v>0.038961038961039</v>
      </c>
      <c r="F19" s="28" t="str">
        <f aca="false">IF(Series!AF15="","n.d.",Series!AF15)</f>
        <v>n.d.</v>
      </c>
      <c r="G19" s="28" t="str">
        <f aca="false">IF(Series!AG15="","n.d.",Series!AG15)</f>
        <v>n.d.</v>
      </c>
      <c r="H19" s="22" t="n">
        <f aca="false">IF(Series!AH15="","n.d.",Series!AH15)</f>
        <v>27.6</v>
      </c>
      <c r="I19" s="22" t="str">
        <f aca="false">IF(Series!AI15="","n.d.",Series!AI15)</f>
        <v>n.d.</v>
      </c>
      <c r="J19" s="22" t="str">
        <f aca="false">IF(Series!AJ15="","n.d.",Series!AJ15)</f>
        <v>n.d.</v>
      </c>
      <c r="K19" s="22" t="n">
        <f aca="false">IF(Series!AK15="","n.d.",Series!AK15)</f>
        <v>37.3</v>
      </c>
    </row>
    <row r="20" customFormat="false" ht="15" hidden="false" customHeight="false" outlineLevel="0" collapsed="false">
      <c r="A20" s="4" t="s">
        <v>109</v>
      </c>
      <c r="B20" s="10" t="s">
        <v>106</v>
      </c>
      <c r="C20" s="29" t="s">
        <v>152</v>
      </c>
      <c r="D20" s="22" t="n">
        <f aca="false">IF(Series!AA16="","n.d.",Series!AA16)</f>
        <v>1.3</v>
      </c>
      <c r="E20" s="28" t="n">
        <f aca="false">IF(Series!AE16="","n.d.",Series!AE16)</f>
        <v>0.0787878787878788</v>
      </c>
      <c r="F20" s="28" t="str">
        <f aca="false">IF(Series!AF16="","n.d.",Series!AF16)</f>
        <v>n.d.</v>
      </c>
      <c r="G20" s="28" t="str">
        <f aca="false">IF(Series!AG16="","n.d.",Series!AG16)</f>
        <v>n.d.</v>
      </c>
      <c r="H20" s="22" t="n">
        <f aca="false">IF(Series!AH16="","n.d.",Series!AH16)</f>
        <v>38.9</v>
      </c>
      <c r="I20" s="22" t="str">
        <f aca="false">IF(Series!AI16="","n.d.",Series!AI16)</f>
        <v>n.d.</v>
      </c>
      <c r="J20" s="22" t="str">
        <f aca="false">IF(Series!AJ16="","n.d.",Series!AJ16)</f>
        <v>n.d.</v>
      </c>
      <c r="K20" s="22" t="n">
        <f aca="false">IF(Series!AK16="","n.d.",Series!AK16)</f>
        <v>42</v>
      </c>
    </row>
    <row r="21" customFormat="false" ht="15" hidden="false" customHeight="false" outlineLevel="0" collapsed="false">
      <c r="A21" s="4" t="s">
        <v>110</v>
      </c>
      <c r="B21" s="10" t="s">
        <v>106</v>
      </c>
      <c r="C21" s="29" t="s">
        <v>152</v>
      </c>
      <c r="D21" s="22" t="n">
        <f aca="false">IF(Series!AA17="","n.d.",Series!AA17)</f>
        <v>1</v>
      </c>
      <c r="E21" s="28" t="n">
        <f aca="false">IF(Series!AE17="","n.d.",Series!AE17)</f>
        <v>0.0602409638554217</v>
      </c>
      <c r="F21" s="28" t="str">
        <f aca="false">IF(Series!AF17="","n.d.",Series!AF17)</f>
        <v>n.d.</v>
      </c>
      <c r="G21" s="28" t="str">
        <f aca="false">IF(Series!AG17="","n.d.",Series!AG17)</f>
        <v>n.d.</v>
      </c>
      <c r="H21" s="22" t="n">
        <f aca="false">IF(Series!AH17="","n.d.",Series!AH17)</f>
        <v>28.7</v>
      </c>
      <c r="I21" s="22" t="str">
        <f aca="false">IF(Series!AI17="","n.d.",Series!AI17)</f>
        <v>n.d.</v>
      </c>
      <c r="J21" s="22" t="str">
        <f aca="false">IF(Series!AJ17="","n.d.",Series!AJ17)</f>
        <v>n.d.</v>
      </c>
      <c r="K21" s="22" t="n">
        <f aca="false">IF(Series!AK17="","n.d.",Series!AK17)</f>
        <v>28.2</v>
      </c>
    </row>
    <row r="22" customFormat="false" ht="15" hidden="false" customHeight="false" outlineLevel="0" collapsed="false">
      <c r="A22" s="4" t="s">
        <v>111</v>
      </c>
      <c r="B22" s="10" t="s">
        <v>112</v>
      </c>
      <c r="C22" s="29" t="s">
        <v>152</v>
      </c>
      <c r="D22" s="22" t="n">
        <f aca="false">IF(Series!AA18="","n.d.",Series!AA18)</f>
        <v>1.6</v>
      </c>
      <c r="E22" s="28" t="n">
        <f aca="false">IF(Series!AE18="","n.d.",Series!AE18)</f>
        <v>0.087431693989071</v>
      </c>
      <c r="F22" s="28" t="str">
        <f aca="false">IF(Series!AF18="","n.d.",Series!AF18)</f>
        <v>n.d.</v>
      </c>
      <c r="G22" s="28" t="str">
        <f aca="false">IF(Series!AG18="","n.d.",Series!AG18)</f>
        <v>n.d.</v>
      </c>
      <c r="H22" s="22" t="n">
        <f aca="false">IF(Series!AH18="","n.d.",Series!AH18)</f>
        <v>26.8</v>
      </c>
      <c r="I22" s="22" t="str">
        <f aca="false">IF(Series!AI18="","n.d.",Series!AI18)</f>
        <v>n.d.</v>
      </c>
      <c r="J22" s="22" t="str">
        <f aca="false">IF(Series!AJ18="","n.d.",Series!AJ18)</f>
        <v>n.d.</v>
      </c>
      <c r="K22" s="22" t="n">
        <f aca="false">IF(Series!AK18="","n.d.",Series!AK18)</f>
        <v>25.8</v>
      </c>
    </row>
    <row r="23" customFormat="false" ht="15" hidden="false" customHeight="false" outlineLevel="0" collapsed="false">
      <c r="A23" s="4" t="s">
        <v>115</v>
      </c>
      <c r="B23" s="10" t="s">
        <v>112</v>
      </c>
      <c r="C23" s="29" t="s">
        <v>152</v>
      </c>
      <c r="D23" s="22" t="n">
        <f aca="false">IF(Series!AA19="","n.d.",Series!AA19)</f>
        <v>0.5</v>
      </c>
      <c r="E23" s="28" t="n">
        <f aca="false">IF(Series!AE19="","n.d.",Series!AE19)</f>
        <v>0.0384615384615385</v>
      </c>
      <c r="F23" s="28" t="str">
        <f aca="false">IF(Series!AF19="","n.d.",Series!AF19)</f>
        <v>n.d.</v>
      </c>
      <c r="G23" s="28" t="str">
        <f aca="false">IF(Series!AG19="","n.d.",Series!AG19)</f>
        <v>n.d.</v>
      </c>
      <c r="H23" s="22" t="n">
        <f aca="false">IF(Series!AH19="","n.d.",Series!AH19)</f>
        <v>28</v>
      </c>
      <c r="I23" s="22" t="str">
        <f aca="false">IF(Series!AI19="","n.d.",Series!AI19)</f>
        <v>n.d.</v>
      </c>
      <c r="J23" s="22" t="str">
        <f aca="false">IF(Series!AJ19="","n.d.",Series!AJ19)</f>
        <v>n.d.</v>
      </c>
      <c r="K23" s="22" t="n">
        <f aca="false">IF(Series!AK19="","n.d.",Series!AK19)</f>
        <v>34.7</v>
      </c>
    </row>
    <row r="24" customFormat="false" ht="15" hidden="false" customHeight="false" outlineLevel="0" collapsed="false">
      <c r="A24" s="4" t="s">
        <v>116</v>
      </c>
      <c r="B24" s="10" t="s">
        <v>112</v>
      </c>
      <c r="C24" s="29" t="s">
        <v>152</v>
      </c>
      <c r="D24" s="22" t="n">
        <f aca="false">IF(Series!AA20="","n.d.",Series!AA20)</f>
        <v>0.9</v>
      </c>
      <c r="E24" s="28" t="n">
        <f aca="false">IF(Series!AE20="","n.d.",Series!AE20)</f>
        <v>0.0559006211180124</v>
      </c>
      <c r="F24" s="28" t="str">
        <f aca="false">IF(Series!AF20="","n.d.",Series!AF20)</f>
        <v>n.d.</v>
      </c>
      <c r="G24" s="28" t="str">
        <f aca="false">IF(Series!AG20="","n.d.",Series!AG20)</f>
        <v>n.d.</v>
      </c>
      <c r="H24" s="22" t="n">
        <f aca="false">IF(Series!AH20="","n.d.",Series!AH20)</f>
        <v>41.1</v>
      </c>
      <c r="I24" s="22" t="str">
        <f aca="false">IF(Series!AI20="","n.d.",Series!AI20)</f>
        <v>n.d.</v>
      </c>
      <c r="J24" s="22" t="str">
        <f aca="false">IF(Series!AJ20="","n.d.",Series!AJ20)</f>
        <v>n.d.</v>
      </c>
      <c r="K24" s="22" t="n">
        <f aca="false">IF(Series!AK20="","n.d.",Series!AK20)</f>
        <v>40.5</v>
      </c>
    </row>
    <row r="25" customFormat="false" ht="15" hidden="false" customHeight="false" outlineLevel="0" collapsed="false">
      <c r="A25" s="4" t="s">
        <v>117</v>
      </c>
      <c r="B25" s="10" t="s">
        <v>112</v>
      </c>
      <c r="C25" s="29" t="s">
        <v>152</v>
      </c>
      <c r="D25" s="22" t="n">
        <f aca="false">IF(Series!AA21="","n.d.",Series!AA21)</f>
        <v>1.3</v>
      </c>
      <c r="E25" s="28" t="n">
        <f aca="false">IF(Series!AE21="","n.d.",Series!AE21)</f>
        <v>0.0970149253731343</v>
      </c>
      <c r="F25" s="28" t="str">
        <f aca="false">IF(Series!AF21="","n.d.",Series!AF21)</f>
        <v>n.d.</v>
      </c>
      <c r="G25" s="28" t="str">
        <f aca="false">IF(Series!AG21="","n.d.",Series!AG21)</f>
        <v>n.d.</v>
      </c>
      <c r="H25" s="22" t="n">
        <f aca="false">IF(Series!AH21="","n.d.",Series!AH21)</f>
        <v>33.7</v>
      </c>
      <c r="I25" s="22" t="str">
        <f aca="false">IF(Series!AI21="","n.d.",Series!AI21)</f>
        <v>n.d.</v>
      </c>
      <c r="J25" s="22" t="str">
        <f aca="false">IF(Series!AJ21="","n.d.",Series!AJ21)</f>
        <v>n.d.</v>
      </c>
      <c r="K25" s="22" t="n">
        <f aca="false">IF(Series!AK21="","n.d.",Series!AK21)</f>
        <v>34.3</v>
      </c>
    </row>
    <row r="26" customFormat="false" ht="15" hidden="false" customHeight="false" outlineLevel="0" collapsed="false">
      <c r="A26" s="4" t="s">
        <v>118</v>
      </c>
      <c r="B26" s="10" t="s">
        <v>119</v>
      </c>
      <c r="C26" s="29" t="s">
        <v>152</v>
      </c>
      <c r="D26" s="22" t="n">
        <f aca="false">IF(Series!AA22="","n.d.",Series!AA22)</f>
        <v>1</v>
      </c>
      <c r="E26" s="28" t="n">
        <f aca="false">IF(Series!AE22="","n.d.",Series!AE22)</f>
        <v>0.0699300699300699</v>
      </c>
      <c r="F26" s="28" t="str">
        <f aca="false">IF(Series!AF22="","n.d.",Series!AF22)</f>
        <v>n.d.</v>
      </c>
      <c r="G26" s="28" t="str">
        <f aca="false">IF(Series!AG22="","n.d.",Series!AG22)</f>
        <v>n.d.</v>
      </c>
      <c r="H26" s="22" t="n">
        <f aca="false">IF(Series!AH22="","n.d.",Series!AH22)</f>
        <v>39.3</v>
      </c>
      <c r="I26" s="22" t="str">
        <f aca="false">IF(Series!AI22="","n.d.",Series!AI22)</f>
        <v>n.d.</v>
      </c>
      <c r="J26" s="22" t="str">
        <f aca="false">IF(Series!AJ22="","n.d.",Series!AJ22)</f>
        <v>n.d.</v>
      </c>
      <c r="K26" s="22" t="n">
        <f aca="false">IF(Series!AK22="","n.d.",Series!AK22)</f>
        <v>38.2</v>
      </c>
    </row>
    <row r="27" customFormat="false" ht="15" hidden="false" customHeight="false" outlineLevel="0" collapsed="false">
      <c r="A27" s="4" t="s">
        <v>120</v>
      </c>
      <c r="B27" s="10" t="s">
        <v>119</v>
      </c>
      <c r="C27" s="29" t="s">
        <v>152</v>
      </c>
      <c r="D27" s="22" t="n">
        <f aca="false">IF(Series!AA23="","n.d.",Series!AA23)</f>
        <v>0.8</v>
      </c>
      <c r="E27" s="28" t="n">
        <f aca="false">IF(Series!AE23="","n.d.",Series!AE23)</f>
        <v>0.0509554140127389</v>
      </c>
      <c r="F27" s="28" t="str">
        <f aca="false">IF(Series!AF23="","n.d.",Series!AF23)</f>
        <v>n.d.</v>
      </c>
      <c r="G27" s="28" t="str">
        <f aca="false">IF(Series!AG23="","n.d.",Series!AG23)</f>
        <v>n.d.</v>
      </c>
      <c r="H27" s="22" t="n">
        <f aca="false">IF(Series!AH23="","n.d.",Series!AH23)</f>
        <v>46.7</v>
      </c>
      <c r="I27" s="22" t="str">
        <f aca="false">IF(Series!AI23="","n.d.",Series!AI23)</f>
        <v>n.d.</v>
      </c>
      <c r="J27" s="22" t="str">
        <f aca="false">IF(Series!AJ23="","n.d.",Series!AJ23)</f>
        <v>n.d.</v>
      </c>
      <c r="K27" s="22" t="n">
        <f aca="false">IF(Series!AK23="","n.d.",Series!AK23)</f>
        <v>39.2</v>
      </c>
    </row>
    <row r="28" customFormat="false" ht="15" hidden="false" customHeight="false" outlineLevel="0" collapsed="false">
      <c r="A28" s="4" t="s">
        <v>121</v>
      </c>
      <c r="B28" s="10" t="s">
        <v>119</v>
      </c>
      <c r="C28" s="29" t="s">
        <v>152</v>
      </c>
      <c r="D28" s="22" t="n">
        <f aca="false">IF(Series!AA24="","n.d.",Series!AA24)</f>
        <v>1.3</v>
      </c>
      <c r="E28" s="28" t="n">
        <f aca="false">IF(Series!AE24="","n.d.",Series!AE24)</f>
        <v>0.1015625</v>
      </c>
      <c r="F28" s="28" t="str">
        <f aca="false">IF(Series!AF24="","n.d.",Series!AF24)</f>
        <v>n.d.</v>
      </c>
      <c r="G28" s="28" t="str">
        <f aca="false">IF(Series!AG24="","n.d.",Series!AG24)</f>
        <v>n.d.</v>
      </c>
      <c r="H28" s="22" t="n">
        <f aca="false">IF(Series!AH24="","n.d.",Series!AH24)</f>
        <v>49</v>
      </c>
      <c r="I28" s="22" t="str">
        <f aca="false">IF(Series!AI24="","n.d.",Series!AI24)</f>
        <v>n.d.</v>
      </c>
      <c r="J28" s="22" t="str">
        <f aca="false">IF(Series!AJ24="","n.d.",Series!AJ24)</f>
        <v>n.d.</v>
      </c>
      <c r="K28" s="22" t="n">
        <f aca="false">IF(Series!AK24="","n.d.",Series!AK24)</f>
        <v>41.8</v>
      </c>
    </row>
    <row r="29" customFormat="false" ht="15" hidden="false" customHeight="false" outlineLevel="0" collapsed="false">
      <c r="A29" s="4" t="s">
        <v>122</v>
      </c>
      <c r="B29" s="10" t="s">
        <v>119</v>
      </c>
      <c r="C29" s="29" t="s">
        <v>152</v>
      </c>
      <c r="D29" s="22" t="n">
        <f aca="false">IF(Series!AA25="","n.d.",Series!AA25)</f>
        <v>0.5</v>
      </c>
      <c r="E29" s="28" t="n">
        <f aca="false">IF(Series!AE25="","n.d.",Series!AE25)</f>
        <v>0.0316455696202532</v>
      </c>
      <c r="F29" s="28" t="str">
        <f aca="false">IF(Series!AF25="","n.d.",Series!AF25)</f>
        <v>n.d.</v>
      </c>
      <c r="G29" s="28" t="str">
        <f aca="false">IF(Series!AG25="","n.d.",Series!AG25)</f>
        <v>n.d.</v>
      </c>
      <c r="H29" s="22" t="n">
        <f aca="false">IF(Series!AH25="","n.d.",Series!AH25)</f>
        <v>47.6</v>
      </c>
      <c r="I29" s="22" t="str">
        <f aca="false">IF(Series!AI25="","n.d.",Series!AI25)</f>
        <v>n.d.</v>
      </c>
      <c r="J29" s="22" t="str">
        <f aca="false">IF(Series!AJ25="","n.d.",Series!AJ25)</f>
        <v>n.d.</v>
      </c>
      <c r="K29" s="22" t="n">
        <f aca="false">IF(Series!AK25="","n.d.",Series!AK25)</f>
        <v>40.9</v>
      </c>
    </row>
    <row r="30" customFormat="false" ht="15" hidden="false" customHeight="false" outlineLevel="0" collapsed="false">
      <c r="A30" s="4" t="s">
        <v>123</v>
      </c>
      <c r="B30" s="10" t="s">
        <v>124</v>
      </c>
      <c r="C30" s="29" t="s">
        <v>152</v>
      </c>
      <c r="D30" s="22" t="n">
        <f aca="false">IF(Series!AA26="","n.d.",Series!AA26)</f>
        <v>3.8</v>
      </c>
      <c r="E30" s="28" t="n">
        <f aca="false">IF(Series!AE26="","n.d.",Series!AE26)</f>
        <v>0.224852071005917</v>
      </c>
      <c r="F30" s="28" t="str">
        <f aca="false">IF(Series!AF26="","n.d.",Series!AF26)</f>
        <v>n.d.</v>
      </c>
      <c r="G30" s="28" t="str">
        <f aca="false">IF(Series!AG26="","n.d.",Series!AG26)</f>
        <v>n.d.</v>
      </c>
      <c r="H30" s="22" t="n">
        <f aca="false">IF(Series!AH26="","n.d.",Series!AH26)</f>
        <v>44.9</v>
      </c>
      <c r="I30" s="22" t="str">
        <f aca="false">IF(Series!AI26="","n.d.",Series!AI26)</f>
        <v>n.d.</v>
      </c>
      <c r="J30" s="22" t="str">
        <f aca="false">IF(Series!AJ26="","n.d.",Series!AJ26)</f>
        <v>n.d.</v>
      </c>
      <c r="K30" s="22" t="n">
        <f aca="false">IF(Series!AK26="","n.d.",Series!AK26)</f>
        <v>32.7</v>
      </c>
    </row>
    <row r="31" customFormat="false" ht="15" hidden="false" customHeight="false" outlineLevel="0" collapsed="false">
      <c r="A31" s="4" t="s">
        <v>126</v>
      </c>
      <c r="B31" s="10" t="s">
        <v>124</v>
      </c>
      <c r="C31" s="29" t="s">
        <v>152</v>
      </c>
      <c r="D31" s="22" t="n">
        <f aca="false">IF(Series!AA27="","n.d.",Series!AA27)</f>
        <v>3.6</v>
      </c>
      <c r="E31" s="28" t="n">
        <f aca="false">IF(Series!AE27="","n.d.",Series!AE27)</f>
        <v>0.243243243243243</v>
      </c>
      <c r="F31" s="28" t="str">
        <f aca="false">IF(Series!AF27="","n.d.",Series!AF27)</f>
        <v>n.d.</v>
      </c>
      <c r="G31" s="28" t="str">
        <f aca="false">IF(Series!AG27="","n.d.",Series!AG27)</f>
        <v>n.d.</v>
      </c>
      <c r="H31" s="22" t="n">
        <f aca="false">IF(Series!AH27="","n.d.",Series!AH27)</f>
        <v>39.4</v>
      </c>
      <c r="I31" s="22" t="n">
        <f aca="false">IF(Series!AI27="","n.d.",Series!AI27)</f>
        <v>35.3</v>
      </c>
      <c r="J31" s="22" t="n">
        <f aca="false">IF(Series!AJ27="","n.d.",Series!AJ27)</f>
        <v>53.7</v>
      </c>
      <c r="K31" s="22" t="n">
        <f aca="false">IF(Series!AK27="","n.d.",Series!AK27)</f>
        <v>34.9</v>
      </c>
    </row>
    <row r="32" customFormat="false" ht="15" hidden="false" customHeight="false" outlineLevel="0" collapsed="false">
      <c r="A32" s="4" t="s">
        <v>128</v>
      </c>
      <c r="B32" s="10" t="s">
        <v>124</v>
      </c>
      <c r="C32" s="29" t="s">
        <v>152</v>
      </c>
      <c r="D32" s="22" t="str">
        <f aca="false">IF(Series!AA28="","n.d.",Series!AA28)</f>
        <v>n.d.</v>
      </c>
      <c r="E32" s="28" t="str">
        <f aca="false">IF(Series!AE28="","n.d.",Series!AE28)</f>
        <v>n.d.</v>
      </c>
      <c r="F32" s="28" t="str">
        <f aca="false">IF(Series!AF28="","n.d.",Series!AF28)</f>
        <v>n.d.</v>
      </c>
      <c r="G32" s="28" t="str">
        <f aca="false">IF(Series!AG28="","n.d.",Series!AG28)</f>
        <v>n.d.</v>
      </c>
      <c r="H32" s="22" t="str">
        <f aca="false">IF(Series!AH28="","n.d.",Series!AH28)</f>
        <v>n.d.</v>
      </c>
      <c r="I32" s="22" t="str">
        <f aca="false">IF(Series!AI28="","n.d.",Series!AI28)</f>
        <v>n.d.</v>
      </c>
      <c r="J32" s="22" t="str">
        <f aca="false">IF(Series!AJ28="","n.d.",Series!AJ28)</f>
        <v>n.d.</v>
      </c>
      <c r="K32" s="22" t="str">
        <f aca="false">IF(Series!AK28="","n.d.",Series!AK28)</f>
        <v>n.d.</v>
      </c>
    </row>
    <row r="33" customFormat="false" ht="15" hidden="false" customHeight="false" outlineLevel="0" collapsed="false">
      <c r="A33" s="19" t="s">
        <v>219</v>
      </c>
    </row>
    <row r="35" customFormat="false" ht="15" hidden="false" customHeight="false" outlineLevel="0" collapsed="false">
      <c r="A35" s="3" t="s">
        <v>220</v>
      </c>
    </row>
    <row r="36" customFormat="false" ht="63.75" hidden="false" customHeight="true" outlineLevel="0" collapsed="false">
      <c r="A36" s="9" t="s">
        <v>48</v>
      </c>
      <c r="B36" s="9" t="s">
        <v>212</v>
      </c>
      <c r="C36" s="9" t="s">
        <v>213</v>
      </c>
      <c r="D36" s="9" t="s">
        <v>214</v>
      </c>
      <c r="E36" s="9" t="s">
        <v>221</v>
      </c>
      <c r="F36" s="9" t="s">
        <v>202</v>
      </c>
      <c r="G36" s="9" t="s">
        <v>203</v>
      </c>
      <c r="H36" s="9" t="s">
        <v>222</v>
      </c>
    </row>
    <row r="37" customFormat="false" ht="15" hidden="false" customHeight="false" outlineLevel="0" collapsed="false">
      <c r="A37" s="4" t="s">
        <v>92</v>
      </c>
      <c r="B37" s="17" t="str">
        <f aca="false">IFERROR(ROUND(AVERAGEIFS($E$6:$E$32,$B$6:$B$32,$A37),5),"n.d.")</f>
        <v>n.d.</v>
      </c>
      <c r="C37" s="17" t="str">
        <f aca="false">IFERROR(ROUND(AVERAGEIFS($F$6:$F$32,$B$6:$B$32,$A37),5),"n.d.")</f>
        <v>n.d.</v>
      </c>
      <c r="D37" s="17" t="str">
        <f aca="false">IFERROR(ROUND(AVERAGEIFS($G$6:$G$32,$B$6:$B$32,$A37),5),"n.d.")</f>
        <v>n.d.</v>
      </c>
      <c r="E37" s="15" t="n">
        <f aca="false">IFERROR(ROUND(AVERAGEIFS($H$6:$H$32,$B$6:$B$32,$A37),3),"n.d.")</f>
        <v>48.875</v>
      </c>
      <c r="F37" s="15" t="str">
        <f aca="false">IFERROR(ROUND(AVERAGEIFS($I$6:$I$32,$B$6:$B$32,$A37),3),"n.d.")</f>
        <v>n.d.</v>
      </c>
      <c r="G37" s="15" t="str">
        <f aca="false">IFERROR(ROUND(AVERAGEIFS($J$6:$J$32,$B$6:$B$32,$A37),3),"n.d.")</f>
        <v>n.d.</v>
      </c>
      <c r="H37" s="19" t="s">
        <v>223</v>
      </c>
    </row>
    <row r="38" customFormat="false" ht="15" hidden="false" customHeight="false" outlineLevel="0" collapsed="false">
      <c r="A38" s="4" t="s">
        <v>95</v>
      </c>
      <c r="B38" s="17" t="str">
        <f aca="false">IFERROR(ROUND(AVERAGEIFS($E$6:$E$32,$B$6:$B$32,$A38),5),"n.d.")</f>
        <v>n.d.</v>
      </c>
      <c r="C38" s="17" t="str">
        <f aca="false">IFERROR(ROUND(AVERAGEIFS($F$6:$F$32,$B$6:$B$32,$A38),5),"n.d.")</f>
        <v>n.d.</v>
      </c>
      <c r="D38" s="17" t="str">
        <f aca="false">IFERROR(ROUND(AVERAGEIFS($G$6:$G$32,$B$6:$B$32,$A38),5),"n.d.")</f>
        <v>n.d.</v>
      </c>
      <c r="E38" s="15" t="n">
        <f aca="false">IFERROR(ROUND(AVERAGEIFS($H$6:$H$32,$B$6:$B$32,$A38),3),"n.d.")</f>
        <v>36.725</v>
      </c>
      <c r="F38" s="15" t="str">
        <f aca="false">IFERROR(ROUND(AVERAGEIFS($I$6:$I$32,$B$6:$B$32,$A38),3),"n.d.")</f>
        <v>n.d.</v>
      </c>
      <c r="G38" s="15" t="str">
        <f aca="false">IFERROR(ROUND(AVERAGEIFS($J$6:$J$32,$B$6:$B$32,$A38),3),"n.d.")</f>
        <v>n.d.</v>
      </c>
      <c r="H38" s="19" t="s">
        <v>224</v>
      </c>
    </row>
    <row r="39" customFormat="false" ht="15" hidden="false" customHeight="false" outlineLevel="0" collapsed="false">
      <c r="A39" s="4" t="s">
        <v>101</v>
      </c>
      <c r="B39" s="17" t="n">
        <f aca="false">IFERROR(ROUND(AVERAGEIFS($E$6:$E$32,$B$6:$B$32,$A39),5),"n.d.")</f>
        <v>0.14026</v>
      </c>
      <c r="C39" s="17" t="str">
        <f aca="false">IFERROR(ROUND(AVERAGEIFS($F$6:$F$32,$B$6:$B$32,$A39),5),"n.d.")</f>
        <v>n.d.</v>
      </c>
      <c r="D39" s="17" t="str">
        <f aca="false">IFERROR(ROUND(AVERAGEIFS($G$6:$G$32,$B$6:$B$32,$A39),5),"n.d.")</f>
        <v>n.d.</v>
      </c>
      <c r="E39" s="15" t="n">
        <f aca="false">IFERROR(ROUND(AVERAGEIFS($H$6:$H$32,$B$6:$B$32,$A39),3),"n.d.")</f>
        <v>22.575</v>
      </c>
      <c r="F39" s="15" t="str">
        <f aca="false">IFERROR(ROUND(AVERAGEIFS($I$6:$I$32,$B$6:$B$32,$A39),3),"n.d.")</f>
        <v>n.d.</v>
      </c>
      <c r="G39" s="15" t="str">
        <f aca="false">IFERROR(ROUND(AVERAGEIFS($J$6:$J$32,$B$6:$B$32,$A39),3),"n.d.")</f>
        <v>n.d.</v>
      </c>
      <c r="H39" s="19" t="s">
        <v>225</v>
      </c>
    </row>
    <row r="40" customFormat="false" ht="15" hidden="false" customHeight="false" outlineLevel="0" collapsed="false">
      <c r="A40" s="4" t="s">
        <v>106</v>
      </c>
      <c r="B40" s="17" t="n">
        <f aca="false">IFERROR(ROUND(AVERAGEIFS($E$6:$E$32,$B$6:$B$32,$A40),5),"n.d.")</f>
        <v>0.07243</v>
      </c>
      <c r="C40" s="17" t="str">
        <f aca="false">IFERROR(ROUND(AVERAGEIFS($F$6:$F$32,$B$6:$B$32,$A40),5),"n.d.")</f>
        <v>n.d.</v>
      </c>
      <c r="D40" s="17" t="str">
        <f aca="false">IFERROR(ROUND(AVERAGEIFS($G$6:$G$32,$B$6:$B$32,$A40),5),"n.d.")</f>
        <v>n.d.</v>
      </c>
      <c r="E40" s="15" t="n">
        <f aca="false">IFERROR(ROUND(AVERAGEIFS($H$6:$H$32,$B$6:$B$32,$A40),3),"n.d.")</f>
        <v>31.025</v>
      </c>
      <c r="F40" s="15" t="str">
        <f aca="false">IFERROR(ROUND(AVERAGEIFS($I$6:$I$32,$B$6:$B$32,$A40),3),"n.d.")</f>
        <v>n.d.</v>
      </c>
      <c r="G40" s="15" t="str">
        <f aca="false">IFERROR(ROUND(AVERAGEIFS($J$6:$J$32,$B$6:$B$32,$A40),3),"n.d.")</f>
        <v>n.d.</v>
      </c>
      <c r="H40" s="19"/>
    </row>
    <row r="41" customFormat="false" ht="15" hidden="false" customHeight="false" outlineLevel="0" collapsed="false">
      <c r="A41" s="4" t="s">
        <v>112</v>
      </c>
      <c r="B41" s="17" t="n">
        <f aca="false">IFERROR(ROUND(AVERAGEIFS($E$6:$E$32,$B$6:$B$32,$A41),5),"n.d.")</f>
        <v>0.0697</v>
      </c>
      <c r="C41" s="17" t="str">
        <f aca="false">IFERROR(ROUND(AVERAGEIFS($F$6:$F$32,$B$6:$B$32,$A41),5),"n.d.")</f>
        <v>n.d.</v>
      </c>
      <c r="D41" s="17" t="str">
        <f aca="false">IFERROR(ROUND(AVERAGEIFS($G$6:$G$32,$B$6:$B$32,$A41),5),"n.d.")</f>
        <v>n.d.</v>
      </c>
      <c r="E41" s="15" t="n">
        <f aca="false">IFERROR(ROUND(AVERAGEIFS($H$6:$H$32,$B$6:$B$32,$A41),3),"n.d.")</f>
        <v>32.4</v>
      </c>
      <c r="F41" s="15" t="str">
        <f aca="false">IFERROR(ROUND(AVERAGEIFS($I$6:$I$32,$B$6:$B$32,$A41),3),"n.d.")</f>
        <v>n.d.</v>
      </c>
      <c r="G41" s="15" t="str">
        <f aca="false">IFERROR(ROUND(AVERAGEIFS($J$6:$J$32,$B$6:$B$32,$A41),3),"n.d.")</f>
        <v>n.d.</v>
      </c>
      <c r="H41" s="19"/>
    </row>
    <row r="42" customFormat="false" ht="15" hidden="false" customHeight="false" outlineLevel="0" collapsed="false">
      <c r="A42" s="4" t="s">
        <v>119</v>
      </c>
      <c r="B42" s="17" t="n">
        <f aca="false">IFERROR(ROUND(AVERAGEIFS($E$6:$E$32,$B$6:$B$32,$A42),5),"n.d.")</f>
        <v>0.06352</v>
      </c>
      <c r="C42" s="17" t="str">
        <f aca="false">IFERROR(ROUND(AVERAGEIFS($F$6:$F$32,$B$6:$B$32,$A42),5),"n.d.")</f>
        <v>n.d.</v>
      </c>
      <c r="D42" s="17" t="str">
        <f aca="false">IFERROR(ROUND(AVERAGEIFS($G$6:$G$32,$B$6:$B$32,$A42),5),"n.d.")</f>
        <v>n.d.</v>
      </c>
      <c r="E42" s="15" t="n">
        <f aca="false">IFERROR(ROUND(AVERAGEIFS($H$6:$H$32,$B$6:$B$32,$A42),3),"n.d.")</f>
        <v>45.65</v>
      </c>
      <c r="F42" s="15" t="str">
        <f aca="false">IFERROR(ROUND(AVERAGEIFS($I$6:$I$32,$B$6:$B$32,$A42),3),"n.d.")</f>
        <v>n.d.</v>
      </c>
      <c r="G42" s="15" t="str">
        <f aca="false">IFERROR(ROUND(AVERAGEIFS($J$6:$J$32,$B$6:$B$32,$A42),3),"n.d.")</f>
        <v>n.d.</v>
      </c>
      <c r="H42" s="19"/>
    </row>
    <row r="43" customFormat="false" ht="15" hidden="false" customHeight="false" outlineLevel="0" collapsed="false">
      <c r="A43" s="4" t="s">
        <v>124</v>
      </c>
      <c r="B43" s="17" t="n">
        <f aca="false">IFERROR(ROUND(AVERAGEIFS($E$6:$E$32,$B$6:$B$32,$A43),5),"n.d.")</f>
        <v>0.23405</v>
      </c>
      <c r="C43" s="17" t="str">
        <f aca="false">IFERROR(ROUND(AVERAGEIFS($F$6:$F$32,$B$6:$B$32,$A43),5),"n.d.")</f>
        <v>n.d.</v>
      </c>
      <c r="D43" s="17" t="str">
        <f aca="false">IFERROR(ROUND(AVERAGEIFS($G$6:$G$32,$B$6:$B$32,$A43),5),"n.d.")</f>
        <v>n.d.</v>
      </c>
      <c r="E43" s="15" t="n">
        <f aca="false">IFERROR(ROUND(AVERAGEIFS($H$6:$H$32,$B$6:$B$32,$A43),3),"n.d.")</f>
        <v>42.15</v>
      </c>
      <c r="F43" s="15" t="n">
        <f aca="false">IFERROR(ROUND(AVERAGEIFS($I$6:$I$32,$B$6:$B$32,$A43),3),"n.d.")</f>
        <v>35.3</v>
      </c>
      <c r="G43" s="15" t="n">
        <f aca="false">IFERROR(ROUND(AVERAGEIFS($J$6:$J$32,$B$6:$B$32,$A43),3),"n.d.")</f>
        <v>53.7</v>
      </c>
      <c r="H43" s="19" t="s">
        <v>226</v>
      </c>
    </row>
    <row r="63" customFormat="false" ht="15" hidden="false" customHeight="false" outlineLevel="0" collapsed="false">
      <c r="A63" s="21" t="s">
        <v>227</v>
      </c>
    </row>
    <row r="82" customFormat="false" ht="15" hidden="false" customHeight="false" outlineLevel="0" collapsed="false">
      <c r="A82" s="21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26"/>
  </cols>
  <sheetData>
    <row r="1" customFormat="false" ht="17.35" hidden="false" customHeight="false" outlineLevel="0" collapsed="false">
      <c r="A1" s="1" t="s">
        <v>229</v>
      </c>
    </row>
    <row r="2" customFormat="false" ht="15" hidden="false" customHeight="false" outlineLevel="0" collapsed="false">
      <c r="A2" s="2" t="s">
        <v>230</v>
      </c>
    </row>
    <row r="4" customFormat="false" ht="48" hidden="false" customHeight="true" outlineLevel="0" collapsed="false">
      <c r="A4" s="9" t="s">
        <v>231</v>
      </c>
      <c r="B4" s="9" t="s">
        <v>232</v>
      </c>
      <c r="C4" s="9" t="s">
        <v>233</v>
      </c>
      <c r="D4" s="9" t="s">
        <v>234</v>
      </c>
      <c r="E4" s="9" t="s">
        <v>235</v>
      </c>
      <c r="F4" s="9" t="s">
        <v>236</v>
      </c>
    </row>
    <row r="5" customFormat="false" ht="26.85" hidden="false" customHeight="false" outlineLevel="0" collapsed="false">
      <c r="A5" s="30" t="s">
        <v>54</v>
      </c>
      <c r="B5" s="5" t="s">
        <v>237</v>
      </c>
      <c r="C5" s="5" t="s">
        <v>238</v>
      </c>
      <c r="D5" s="5" t="s">
        <v>239</v>
      </c>
      <c r="E5" s="5" t="s">
        <v>240</v>
      </c>
      <c r="F5" s="5" t="s">
        <v>241</v>
      </c>
    </row>
    <row r="6" customFormat="false" ht="26.85" hidden="false" customHeight="false" outlineLevel="0" collapsed="false">
      <c r="A6" s="30" t="s">
        <v>242</v>
      </c>
      <c r="B6" s="5" t="s">
        <v>243</v>
      </c>
      <c r="C6" s="5" t="s">
        <v>238</v>
      </c>
      <c r="D6" s="5" t="s">
        <v>244</v>
      </c>
      <c r="E6" s="5" t="s">
        <v>245</v>
      </c>
      <c r="F6" s="5" t="s">
        <v>246</v>
      </c>
    </row>
    <row r="7" customFormat="false" ht="15" hidden="false" customHeight="false" outlineLevel="0" collapsed="false">
      <c r="A7" s="30" t="s">
        <v>56</v>
      </c>
      <c r="B7" s="5" t="s">
        <v>247</v>
      </c>
      <c r="C7" s="5" t="s">
        <v>238</v>
      </c>
      <c r="D7" s="5" t="s">
        <v>248</v>
      </c>
      <c r="E7" s="5" t="s">
        <v>156</v>
      </c>
      <c r="F7" s="5" t="s">
        <v>249</v>
      </c>
    </row>
    <row r="8" customFormat="false" ht="39.55" hidden="false" customHeight="false" outlineLevel="0" collapsed="false">
      <c r="A8" s="30" t="s">
        <v>250</v>
      </c>
      <c r="B8" s="5" t="s">
        <v>251</v>
      </c>
      <c r="C8" s="5" t="s">
        <v>252</v>
      </c>
      <c r="D8" s="5" t="s">
        <v>248</v>
      </c>
      <c r="E8" s="5" t="s">
        <v>253</v>
      </c>
      <c r="F8" s="5" t="s">
        <v>9</v>
      </c>
    </row>
    <row r="9" customFormat="false" ht="26.85" hidden="false" customHeight="false" outlineLevel="0" collapsed="false">
      <c r="A9" s="30" t="s">
        <v>254</v>
      </c>
      <c r="B9" s="5" t="s">
        <v>255</v>
      </c>
      <c r="C9" s="5" t="s">
        <v>256</v>
      </c>
      <c r="D9" s="5" t="s">
        <v>248</v>
      </c>
      <c r="E9" s="5" t="s">
        <v>156</v>
      </c>
      <c r="F9" s="5" t="s">
        <v>257</v>
      </c>
    </row>
    <row r="10" customFormat="false" ht="26.85" hidden="false" customHeight="false" outlineLevel="0" collapsed="false">
      <c r="A10" s="30" t="s">
        <v>258</v>
      </c>
      <c r="B10" s="5" t="s">
        <v>259</v>
      </c>
      <c r="C10" s="5" t="s">
        <v>260</v>
      </c>
      <c r="D10" s="5" t="s">
        <v>248</v>
      </c>
      <c r="E10" s="5" t="s">
        <v>156</v>
      </c>
      <c r="F10" s="5" t="s">
        <v>261</v>
      </c>
    </row>
    <row r="11" customFormat="false" ht="39.55" hidden="false" customHeight="false" outlineLevel="0" collapsed="false">
      <c r="A11" s="30" t="s">
        <v>262</v>
      </c>
      <c r="B11" s="5" t="s">
        <v>263</v>
      </c>
      <c r="C11" s="5" t="s">
        <v>238</v>
      </c>
      <c r="D11" s="5" t="s">
        <v>248</v>
      </c>
      <c r="E11" s="5" t="s">
        <v>264</v>
      </c>
      <c r="F11" s="5" t="s">
        <v>265</v>
      </c>
    </row>
    <row r="12" customFormat="false" ht="26.85" hidden="false" customHeight="false" outlineLevel="0" collapsed="false">
      <c r="A12" s="30" t="s">
        <v>73</v>
      </c>
      <c r="B12" s="5" t="s">
        <v>266</v>
      </c>
      <c r="C12" s="5" t="s">
        <v>267</v>
      </c>
      <c r="D12" s="5" t="s">
        <v>248</v>
      </c>
      <c r="E12" s="5" t="s">
        <v>264</v>
      </c>
      <c r="F12" s="5" t="s">
        <v>268</v>
      </c>
    </row>
    <row r="13" customFormat="false" ht="26.85" hidden="false" customHeight="false" outlineLevel="0" collapsed="false">
      <c r="A13" s="30" t="s">
        <v>171</v>
      </c>
      <c r="B13" s="5" t="s">
        <v>269</v>
      </c>
      <c r="C13" s="5" t="s">
        <v>270</v>
      </c>
      <c r="D13" s="5" t="s">
        <v>248</v>
      </c>
      <c r="E13" s="5" t="s">
        <v>264</v>
      </c>
      <c r="F13" s="5" t="s">
        <v>271</v>
      </c>
    </row>
    <row r="14" customFormat="false" ht="26.85" hidden="false" customHeight="false" outlineLevel="0" collapsed="false">
      <c r="A14" s="30" t="s">
        <v>272</v>
      </c>
      <c r="B14" s="5" t="s">
        <v>273</v>
      </c>
      <c r="C14" s="5" t="s">
        <v>274</v>
      </c>
      <c r="D14" s="5" t="s">
        <v>275</v>
      </c>
      <c r="E14" s="5" t="s">
        <v>276</v>
      </c>
      <c r="F14" s="5" t="s">
        <v>277</v>
      </c>
    </row>
    <row r="15" customFormat="false" ht="26.85" hidden="false" customHeight="false" outlineLevel="0" collapsed="false">
      <c r="A15" s="30" t="s">
        <v>278</v>
      </c>
      <c r="B15" s="5" t="s">
        <v>279</v>
      </c>
      <c r="C15" s="5" t="s">
        <v>238</v>
      </c>
      <c r="D15" s="5" t="s">
        <v>248</v>
      </c>
      <c r="E15" s="5" t="s">
        <v>264</v>
      </c>
      <c r="F15" s="5" t="s">
        <v>280</v>
      </c>
    </row>
    <row r="16" customFormat="false" ht="26.85" hidden="false" customHeight="false" outlineLevel="0" collapsed="false">
      <c r="A16" s="30" t="s">
        <v>281</v>
      </c>
      <c r="B16" s="5" t="s">
        <v>282</v>
      </c>
      <c r="C16" s="5" t="s">
        <v>283</v>
      </c>
      <c r="D16" s="5" t="s">
        <v>248</v>
      </c>
      <c r="E16" s="5" t="s">
        <v>264</v>
      </c>
      <c r="F16" s="5" t="s">
        <v>284</v>
      </c>
    </row>
    <row r="17" customFormat="false" ht="15" hidden="false" customHeight="false" outlineLevel="0" collapsed="false">
      <c r="A17" s="30" t="s">
        <v>285</v>
      </c>
      <c r="B17" s="5" t="s">
        <v>286</v>
      </c>
      <c r="C17" s="5" t="s">
        <v>287</v>
      </c>
      <c r="D17" s="5" t="s">
        <v>288</v>
      </c>
      <c r="E17" s="5" t="s">
        <v>289</v>
      </c>
      <c r="F17" s="5" t="s">
        <v>290</v>
      </c>
    </row>
    <row r="18" customFormat="false" ht="39.55" hidden="false" customHeight="false" outlineLevel="0" collapsed="false">
      <c r="A18" s="30" t="s">
        <v>291</v>
      </c>
      <c r="B18" s="5" t="s">
        <v>292</v>
      </c>
      <c r="C18" s="5" t="s">
        <v>287</v>
      </c>
      <c r="D18" s="5" t="s">
        <v>288</v>
      </c>
      <c r="E18" s="5" t="s">
        <v>293</v>
      </c>
      <c r="F18" s="5" t="s">
        <v>294</v>
      </c>
    </row>
    <row r="19" customFormat="false" ht="26.85" hidden="false" customHeight="false" outlineLevel="0" collapsed="false">
      <c r="A19" s="30" t="s">
        <v>295</v>
      </c>
      <c r="B19" s="5" t="s">
        <v>296</v>
      </c>
      <c r="C19" s="5" t="s">
        <v>297</v>
      </c>
      <c r="D19" s="5" t="s">
        <v>298</v>
      </c>
      <c r="E19" s="5" t="s">
        <v>299</v>
      </c>
      <c r="F19" s="5" t="s">
        <v>7</v>
      </c>
    </row>
    <row r="21" customFormat="false" ht="15" hidden="false" customHeight="false" outlineLevel="0" collapsed="false">
      <c r="A21" s="19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48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2" t="s">
        <v>302</v>
      </c>
    </row>
    <row r="4" customFormat="false" ht="48" hidden="false" customHeight="true" outlineLevel="0" collapsed="false">
      <c r="A4" s="9" t="s">
        <v>303</v>
      </c>
      <c r="B4" s="9" t="s">
        <v>15</v>
      </c>
      <c r="C4" s="9" t="s">
        <v>304</v>
      </c>
      <c r="D4" s="9" t="s">
        <v>305</v>
      </c>
      <c r="E4" s="9" t="s">
        <v>306</v>
      </c>
    </row>
    <row r="5" customFormat="false" ht="61.5" hidden="false" customHeight="true" outlineLevel="0" collapsed="false">
      <c r="A5" s="30" t="s">
        <v>307</v>
      </c>
      <c r="B5" s="5" t="s">
        <v>308</v>
      </c>
      <c r="C5" s="5" t="s">
        <v>309</v>
      </c>
      <c r="D5" s="5" t="str">
        <f aca="false">"Nuevo: "&amp;TEXT('Resumen anual'!D9,"0.0")&amp;"% (2023) → "&amp;TEXT('Resumen anual'!D12,"0.0")&amp;"% (2026). Saldo: "&amp;TEXT('Resumen anual'!F9,"0.0")&amp;"% → "&amp;TEXT('Resumen anual'!F12,"0.0")&amp;"%"</f>
        <v>Nuevo: 15.4% (2023) → 12.2% (2026). Saldo: 37.8% → 37.2%</v>
      </c>
      <c r="E5" s="5" t="s">
        <v>310</v>
      </c>
    </row>
    <row r="6" customFormat="false" ht="61.5" hidden="false" customHeight="true" outlineLevel="0" collapsed="false">
      <c r="A6" s="30" t="s">
        <v>311</v>
      </c>
      <c r="B6" s="5" t="s">
        <v>312</v>
      </c>
      <c r="C6" s="5" t="s">
        <v>313</v>
      </c>
      <c r="D6" s="5" t="str">
        <f aca="false">"Brecha con crédito: "&amp;TEXT('Por tamaño'!D40,"0.0")&amp;" pp (2023) → "&amp;TEXT('Por tamaño'!D43,"0.0")&amp;" pp (2026)"</f>
        <v>Brecha con crédito: 6.8 pp (2023) → 12.4 pp (2026)</v>
      </c>
      <c r="E6" s="5" t="s">
        <v>314</v>
      </c>
    </row>
    <row r="7" customFormat="false" ht="61.5" hidden="false" customHeight="true" outlineLevel="0" collapsed="false">
      <c r="A7" s="30" t="s">
        <v>315</v>
      </c>
      <c r="B7" s="5" t="s">
        <v>316</v>
      </c>
      <c r="C7" s="5" t="s">
        <v>317</v>
      </c>
      <c r="D7" s="5" t="str">
        <f aca="false">"Nuevo crédito: meseta "&amp;TEXT(Estadísticas!C22,"0.0")&amp;"% vs recortes "&amp;TEXT(Estadísticas!C23,"0.0")&amp;"%. Correlación "&amp;TEXT(Estadísticas!B12,"+0.00")</f>
        <v>Nuevo crédito: meseta 15.2% vs recortes 13.6%. Correlación +0.46</v>
      </c>
      <c r="E7" s="5" t="s">
        <v>318</v>
      </c>
    </row>
    <row r="8" customFormat="false" ht="61.5" hidden="false" customHeight="true" outlineLevel="0" collapsed="false">
      <c r="A8" s="30" t="s">
        <v>319</v>
      </c>
      <c r="B8" s="5" t="s">
        <v>320</v>
      </c>
      <c r="C8" s="5" t="s">
        <v>321</v>
      </c>
      <c r="D8" s="5" t="str">
        <f aca="false">"Rechazo 2026: "&amp;TEXT('Resumen anual'!Q12,"0.0%")&amp;" vs "&amp;TEXT('Resumen anual'!Q11,"0.0%")&amp;" en 2025"</f>
        <v>Rechazo 2026: 23.4% vs 6.4% en 2025</v>
      </c>
      <c r="E8" s="5" t="s">
        <v>322</v>
      </c>
    </row>
    <row r="9" customFormat="false" ht="61.5" hidden="false" customHeight="true" outlineLevel="0" collapsed="false">
      <c r="A9" s="30" t="s">
        <v>323</v>
      </c>
      <c r="B9" s="5" t="s">
        <v>324</v>
      </c>
      <c r="C9" s="5" t="s">
        <v>325</v>
      </c>
      <c r="D9" s="5" t="str">
        <f aca="false">"II-26: ventas "&amp;TEXT(Series!AM27,"0.0")&amp;"% vs acceso "&amp;TEXT(Series!AN27,"0.0")&amp;"%; no solicitaron "&amp;TEXT(Series!J27,"0.0")&amp;"%"</f>
        <v>II-26: ventas 44.6% vs acceso 1.2%; no solicitaron 82.1%</v>
      </c>
      <c r="E9" s="5" t="s">
        <v>326</v>
      </c>
    </row>
    <row r="10" customFormat="false" ht="61.5" hidden="false" customHeight="true" outlineLevel="0" collapsed="false">
      <c r="A10" s="30" t="s">
        <v>327</v>
      </c>
      <c r="B10" s="5" t="s">
        <v>328</v>
      </c>
      <c r="C10" s="5" t="s">
        <v>329</v>
      </c>
      <c r="D10" s="5" t="s">
        <v>330</v>
      </c>
      <c r="E10" s="5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3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332</v>
      </c>
    </row>
    <row r="2" customFormat="false" ht="15" hidden="false" customHeight="false" outlineLevel="0" collapsed="false">
      <c r="A2" s="2" t="s">
        <v>333</v>
      </c>
    </row>
    <row r="4" customFormat="false" ht="48" hidden="false" customHeight="true" outlineLevel="0" collapsed="false">
      <c r="A4" s="9" t="s">
        <v>334</v>
      </c>
      <c r="B4" s="9" t="s">
        <v>335</v>
      </c>
      <c r="C4" s="9" t="s">
        <v>336</v>
      </c>
      <c r="D4" s="9" t="s">
        <v>337</v>
      </c>
      <c r="E4" s="9" t="s">
        <v>338</v>
      </c>
    </row>
    <row r="5" customFormat="false" ht="39.55" hidden="false" customHeight="false" outlineLevel="0" collapsed="false">
      <c r="A5" s="30" t="s">
        <v>339</v>
      </c>
      <c r="B5" s="5" t="s">
        <v>340</v>
      </c>
      <c r="C5" s="5" t="s">
        <v>341</v>
      </c>
      <c r="D5" s="5" t="s">
        <v>342</v>
      </c>
      <c r="E5" s="5" t="s">
        <v>343</v>
      </c>
    </row>
    <row r="6" customFormat="false" ht="26.85" hidden="false" customHeight="false" outlineLevel="0" collapsed="false">
      <c r="A6" s="30" t="s">
        <v>344</v>
      </c>
      <c r="B6" s="5" t="s">
        <v>345</v>
      </c>
      <c r="C6" s="5" t="s">
        <v>346</v>
      </c>
      <c r="D6" s="5" t="s">
        <v>347</v>
      </c>
      <c r="E6" s="5" t="s">
        <v>348</v>
      </c>
    </row>
    <row r="7" customFormat="false" ht="26.85" hidden="false" customHeight="false" outlineLevel="0" collapsed="false">
      <c r="A7" s="30" t="s">
        <v>349</v>
      </c>
      <c r="B7" s="5" t="s">
        <v>350</v>
      </c>
      <c r="C7" s="5" t="s">
        <v>351</v>
      </c>
      <c r="D7" s="5" t="s">
        <v>352</v>
      </c>
      <c r="E7" s="5" t="s">
        <v>353</v>
      </c>
    </row>
    <row r="8" customFormat="false" ht="26.85" hidden="false" customHeight="false" outlineLevel="0" collapsed="false">
      <c r="A8" s="30" t="s">
        <v>354</v>
      </c>
      <c r="B8" s="5" t="s">
        <v>355</v>
      </c>
      <c r="C8" s="5" t="s">
        <v>356</v>
      </c>
      <c r="D8" s="5" t="s">
        <v>357</v>
      </c>
      <c r="E8" s="5" t="s">
        <v>358</v>
      </c>
    </row>
    <row r="9" customFormat="false" ht="15" hidden="false" customHeight="false" outlineLevel="0" collapsed="false">
      <c r="A9" s="30" t="s">
        <v>359</v>
      </c>
      <c r="B9" s="5" t="s">
        <v>360</v>
      </c>
      <c r="C9" s="5" t="s">
        <v>361</v>
      </c>
      <c r="D9" s="5" t="s">
        <v>362</v>
      </c>
      <c r="E9" s="5" t="s">
        <v>363</v>
      </c>
    </row>
    <row r="10" customFormat="false" ht="26.85" hidden="false" customHeight="false" outlineLevel="0" collapsed="false">
      <c r="A10" s="30" t="s">
        <v>364</v>
      </c>
      <c r="B10" s="5" t="s">
        <v>365</v>
      </c>
      <c r="C10" s="5" t="s">
        <v>366</v>
      </c>
      <c r="D10" s="5" t="s">
        <v>367</v>
      </c>
      <c r="E10" s="5" t="s">
        <v>368</v>
      </c>
    </row>
    <row r="13" customFormat="false" ht="15" hidden="false" customHeight="false" outlineLevel="0" collapsed="false">
      <c r="A13" s="3" t="s">
        <v>369</v>
      </c>
    </row>
    <row r="14" customFormat="false" ht="48" hidden="false" customHeight="true" outlineLevel="0" collapsed="false">
      <c r="A14" s="9" t="s">
        <v>370</v>
      </c>
      <c r="B14" s="9" t="s">
        <v>371</v>
      </c>
    </row>
    <row r="15" customFormat="false" ht="15" hidden="false" customHeight="false" outlineLevel="0" collapsed="false">
      <c r="A15" s="10" t="s">
        <v>372</v>
      </c>
      <c r="B15" s="14" t="n">
        <v>82.8</v>
      </c>
    </row>
    <row r="16" customFormat="false" ht="15" hidden="false" customHeight="false" outlineLevel="0" collapsed="false">
      <c r="A16" s="10" t="s">
        <v>373</v>
      </c>
      <c r="B16" s="14" t="n">
        <v>28.5</v>
      </c>
    </row>
    <row r="17" customFormat="false" ht="15" hidden="false" customHeight="false" outlineLevel="0" collapsed="false">
      <c r="A17" s="10" t="s">
        <v>374</v>
      </c>
      <c r="B17" s="14" t="n">
        <v>12.7</v>
      </c>
    </row>
    <row r="18" customFormat="false" ht="15" hidden="false" customHeight="false" outlineLevel="0" collapsed="false">
      <c r="A18" s="10" t="s">
        <v>375</v>
      </c>
      <c r="B18" s="14" t="n">
        <v>1.9</v>
      </c>
    </row>
    <row r="19" customFormat="false" ht="15" hidden="false" customHeight="false" outlineLevel="0" collapsed="false">
      <c r="A19" s="10" t="s">
        <v>376</v>
      </c>
      <c r="B19" s="14" t="n">
        <v>0.9</v>
      </c>
    </row>
    <row r="20" customFormat="false" ht="15" hidden="false" customHeight="false" outlineLevel="0" collapsed="false">
      <c r="A20" s="10" t="s">
        <v>377</v>
      </c>
      <c r="B20" s="14" t="n">
        <v>0.5</v>
      </c>
    </row>
    <row r="22" customFormat="false" ht="15" hidden="false" customHeight="false" outlineLevel="0" collapsed="false">
      <c r="A22" s="21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379</v>
      </c>
    </row>
    <row r="2" customFormat="false" ht="15" hidden="false" customHeight="false" outlineLevel="0" collapsed="false">
      <c r="A2" s="2" t="s">
        <v>380</v>
      </c>
    </row>
    <row r="4" customFormat="false" ht="48" hidden="false" customHeight="true" outlineLevel="0" collapsed="false">
      <c r="A4" s="9" t="s">
        <v>304</v>
      </c>
      <c r="B4" s="9" t="s">
        <v>381</v>
      </c>
    </row>
    <row r="5" customFormat="false" ht="15" hidden="false" customHeight="false" outlineLevel="0" collapsed="false">
      <c r="A5" s="10" t="s">
        <v>382</v>
      </c>
      <c r="B5" s="15" t="n">
        <f aca="false">AVERAGE(Series!$H$5:$H$28)</f>
        <v>13.8826086956522</v>
      </c>
    </row>
    <row r="6" customFormat="false" ht="15" hidden="false" customHeight="false" outlineLevel="0" collapsed="false">
      <c r="A6" s="10" t="s">
        <v>383</v>
      </c>
      <c r="B6" s="15" t="n">
        <f aca="false">STDEV(Series!$H$5:$H$28)</f>
        <v>2.07159406648228</v>
      </c>
    </row>
    <row r="7" customFormat="false" ht="15" hidden="false" customHeight="false" outlineLevel="0" collapsed="false">
      <c r="A7" s="10" t="s">
        <v>384</v>
      </c>
      <c r="B7" s="15" t="n">
        <f aca="false">MIN(Series!$H$5:$H$28)</f>
        <v>9</v>
      </c>
    </row>
    <row r="8" customFormat="false" ht="15" hidden="false" customHeight="false" outlineLevel="0" collapsed="false">
      <c r="A8" s="10" t="s">
        <v>385</v>
      </c>
      <c r="B8" s="10" t="str">
        <f aca="false">INDEX(Series!$A$5:$A$28,MATCH(MIN(Series!$H$5:$H$28),Series!$H$5:$H$28,0))</f>
        <v>IV-21</v>
      </c>
    </row>
    <row r="9" customFormat="false" ht="15" hidden="false" customHeight="false" outlineLevel="0" collapsed="false">
      <c r="A9" s="10" t="s">
        <v>386</v>
      </c>
      <c r="B9" s="11" t="n">
        <f aca="false">RANK(Series!H27,Series!$H$5:$H$28,1)</f>
        <v>3</v>
      </c>
    </row>
    <row r="10" customFormat="false" ht="15" hidden="false" customHeight="false" outlineLevel="0" collapsed="false">
      <c r="A10" s="10" t="s">
        <v>387</v>
      </c>
      <c r="B10" s="15" t="n">
        <f aca="false">MAX(Series!$H$5:$H$28)</f>
        <v>16.7</v>
      </c>
    </row>
    <row r="11" customFormat="false" ht="15" hidden="false" customHeight="false" outlineLevel="0" collapsed="false">
      <c r="A11" s="10" t="s">
        <v>388</v>
      </c>
      <c r="B11" s="25" t="n">
        <f aca="false">SLOPE(Series!H14:H28,Series!E14:E28)*4</f>
        <v>-1.03120879120879</v>
      </c>
    </row>
    <row r="12" customFormat="false" ht="15" hidden="false" customHeight="false" outlineLevel="0" collapsed="false">
      <c r="A12" s="10" t="s">
        <v>389</v>
      </c>
      <c r="B12" s="25" t="n">
        <f aca="false">CORREL(Series!H5:H27,Series!F5:F27)</f>
        <v>0.455370863721503</v>
      </c>
    </row>
    <row r="13" customFormat="false" ht="15" hidden="false" customHeight="false" outlineLevel="0" collapsed="false">
      <c r="A13" s="10" t="s">
        <v>390</v>
      </c>
      <c r="B13" s="25" t="n">
        <f aca="false">CORREL(Series!H6:H27,Series!F5:F26)</f>
        <v>0.419330760130357</v>
      </c>
    </row>
    <row r="14" customFormat="false" ht="26.85" hidden="false" customHeight="false" outlineLevel="0" collapsed="false">
      <c r="A14" s="5" t="s">
        <v>391</v>
      </c>
      <c r="B14" s="15" t="n">
        <f aca="false">1.96*SQRT(B5/100*(1-B5/100)/650)*100</f>
        <v>2.65815540110867</v>
      </c>
    </row>
    <row r="15" customFormat="false" ht="15" hidden="false" customHeight="false" outlineLevel="0" collapsed="false">
      <c r="A15" s="10" t="s">
        <v>392</v>
      </c>
      <c r="B15" s="15" t="n">
        <f aca="false">MAX(Series!$N$5:$N$28)</f>
        <v>19.1</v>
      </c>
    </row>
    <row r="16" customFormat="false" ht="15" hidden="false" customHeight="false" outlineLevel="0" collapsed="false">
      <c r="A16" s="10" t="s">
        <v>393</v>
      </c>
      <c r="B16" s="10" t="str">
        <f aca="false">INDEX(Series!$A$5:$A$28,MATCH(B15,Series!$N$5:$N$28,0))</f>
        <v>IV-21</v>
      </c>
    </row>
    <row r="17" customFormat="false" ht="15" hidden="false" customHeight="false" outlineLevel="0" collapsed="false">
      <c r="A17" s="19" t="s">
        <v>394</v>
      </c>
    </row>
    <row r="19" customFormat="false" ht="48" hidden="false" customHeight="true" outlineLevel="0" collapsed="false">
      <c r="A19" s="9" t="s">
        <v>395</v>
      </c>
      <c r="B19" s="9" t="s">
        <v>165</v>
      </c>
      <c r="C19" s="9" t="s">
        <v>396</v>
      </c>
      <c r="D19" s="9" t="s">
        <v>397</v>
      </c>
      <c r="E19" s="9" t="s">
        <v>398</v>
      </c>
      <c r="F19" s="9" t="s">
        <v>399</v>
      </c>
    </row>
    <row r="20" customFormat="false" ht="15" hidden="false" customHeight="false" outlineLevel="0" collapsed="false">
      <c r="A20" s="4" t="s">
        <v>93</v>
      </c>
      <c r="B20" s="11" t="n">
        <f aca="false">COUNTIFS(Series!$D$5:$D$28,$A20,Series!$H$5:$H$28,"&lt;&gt;")</f>
        <v>2</v>
      </c>
      <c r="C20" s="15" t="n">
        <f aca="false">IFERROR(AVERAGEIFS(Series!$H$5:$H$28,Series!$D$5:$D$28,$A20),"n.d.")</f>
        <v>14.55</v>
      </c>
      <c r="D20" s="25" t="n">
        <f aca="false">IFERROR(AVERAGEIFS(Series!$F$5:$F$28,Series!$D$5:$D$28,$A20),"n.d.")</f>
        <v>4.125</v>
      </c>
      <c r="E20" s="15" t="n">
        <f aca="false">IFERROR(AVERAGEIFS(Series!$R$5:$R$28,Series!$D$5:$D$28,$A20),"n.d.")</f>
        <v>49.45</v>
      </c>
      <c r="F20" s="10" t="s">
        <v>400</v>
      </c>
    </row>
    <row r="21" customFormat="false" ht="15" hidden="false" customHeight="false" outlineLevel="0" collapsed="false">
      <c r="A21" s="4" t="s">
        <v>97</v>
      </c>
      <c r="B21" s="11" t="n">
        <f aca="false">COUNTIFS(Series!$D$5:$D$28,$A21,Series!$H$5:$H$28,"&lt;&gt;")</f>
        <v>8</v>
      </c>
      <c r="C21" s="15" t="n">
        <f aca="false">IFERROR(AVERAGEIFS(Series!$H$5:$H$28,Series!$D$5:$D$28,$A21),"n.d.")</f>
        <v>13.6</v>
      </c>
      <c r="D21" s="25" t="n">
        <f aca="false">IFERROR(AVERAGEIFS(Series!$F$5:$F$28,Series!$D$5:$D$28,$A21),"n.d.")</f>
        <v>7.46875</v>
      </c>
      <c r="E21" s="15" t="n">
        <f aca="false">IFERROR(AVERAGEIFS(Series!$R$5:$R$28,Series!$D$5:$D$28,$A21),"n.d.")</f>
        <v>54.4125</v>
      </c>
      <c r="F21" s="10" t="s">
        <v>401</v>
      </c>
    </row>
    <row r="22" customFormat="false" ht="15" hidden="false" customHeight="false" outlineLevel="0" collapsed="false">
      <c r="A22" s="4" t="s">
        <v>108</v>
      </c>
      <c r="B22" s="11" t="n">
        <f aca="false">COUNTIFS(Series!$D$5:$D$28,$A22,Series!$H$5:$H$28,"&lt;&gt;")</f>
        <v>3</v>
      </c>
      <c r="C22" s="15" t="n">
        <f aca="false">IFERROR(AVERAGEIFS(Series!$H$5:$H$28,Series!$D$5:$D$28,$A22),"n.d.")</f>
        <v>15.2</v>
      </c>
      <c r="D22" s="25" t="n">
        <f aca="false">IFERROR(AVERAGEIFS(Series!$F$5:$F$28,Series!$D$5:$D$28,$A22),"n.d.")</f>
        <v>11.25</v>
      </c>
      <c r="E22" s="15" t="n">
        <f aca="false">IFERROR(AVERAGEIFS(Series!$R$5:$R$28,Series!$D$5:$D$28,$A22),"n.d.")</f>
        <v>57.5666666666667</v>
      </c>
      <c r="F22" s="10" t="s">
        <v>402</v>
      </c>
    </row>
    <row r="23" customFormat="false" ht="15" hidden="false" customHeight="false" outlineLevel="0" collapsed="false">
      <c r="A23" s="4" t="s">
        <v>113</v>
      </c>
      <c r="B23" s="11" t="n">
        <f aca="false">COUNTIFS(Series!$D$5:$D$28,$A23,Series!$H$5:$H$28,"&lt;&gt;")</f>
        <v>10</v>
      </c>
      <c r="C23" s="15" t="n">
        <f aca="false">IFERROR(AVERAGEIFS(Series!$H$5:$H$28,Series!$D$5:$D$28,$A23),"n.d.")</f>
        <v>13.58</v>
      </c>
      <c r="D23" s="25" t="n">
        <f aca="false">IFERROR(AVERAGEIFS(Series!$F$5:$F$28,Series!$D$5:$D$28,$A23),"n.d.")</f>
        <v>8.725</v>
      </c>
      <c r="E23" s="15" t="n">
        <f aca="false">IFERROR(AVERAGEIFS(Series!$R$5:$R$28,Series!$D$5:$D$28,$A23),"n.d.")</f>
        <v>55.08</v>
      </c>
      <c r="F23" s="10" t="s">
        <v>403</v>
      </c>
    </row>
    <row r="24" customFormat="false" ht="15" hidden="false" customHeight="false" outlineLevel="0" collapsed="false">
      <c r="A24" s="4" t="s">
        <v>129</v>
      </c>
      <c r="B24" s="11" t="n">
        <f aca="false">COUNTIFS(Series!$D$5:$D$28,$A24,Series!$H$5:$H$28,"&lt;&gt;")</f>
        <v>0</v>
      </c>
      <c r="C24" s="15" t="str">
        <f aca="false">IFERROR(AVERAGEIFS(Series!$H$5:$H$28,Series!$D$5:$D$28,$A24),"n.d.")</f>
        <v>n.d.</v>
      </c>
      <c r="D24" s="25" t="n">
        <f aca="false">IFERROR(AVERAGEIFS(Series!$F$5:$F$28,Series!$D$5:$D$28,$A24),"n.d.")</f>
        <v>6.5</v>
      </c>
      <c r="E24" s="15" t="str">
        <f aca="false">IFERROR(AVERAGEIFS(Series!$R$5:$R$28,Series!$D$5:$D$28,$A24),"n.d.")</f>
        <v>n.d.</v>
      </c>
      <c r="F24" s="10" t="s">
        <v>404</v>
      </c>
    </row>
    <row r="26" customFormat="false" ht="15" hidden="false" customHeight="false" outlineLevel="0" collapsed="false">
      <c r="A26" s="19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406</v>
      </c>
    </row>
    <row r="2" customFormat="false" ht="15" hidden="false" customHeight="false" outlineLevel="0" collapsed="false">
      <c r="A2" s="2" t="s">
        <v>407</v>
      </c>
    </row>
    <row r="4" customFormat="false" ht="48" hidden="false" customHeight="true" outlineLevel="0" collapsed="false">
      <c r="A4" s="9" t="s">
        <v>47</v>
      </c>
      <c r="B4" s="9" t="s">
        <v>408</v>
      </c>
      <c r="C4" s="9" t="s">
        <v>409</v>
      </c>
      <c r="D4" s="9" t="s">
        <v>410</v>
      </c>
      <c r="E4" s="9" t="s">
        <v>411</v>
      </c>
      <c r="F4" s="9" t="s">
        <v>412</v>
      </c>
      <c r="G4" s="9" t="s">
        <v>410</v>
      </c>
      <c r="H4" s="9" t="s">
        <v>413</v>
      </c>
      <c r="I4" s="9" t="s">
        <v>414</v>
      </c>
    </row>
    <row r="5" customFormat="false" ht="15" hidden="false" customHeight="false" outlineLevel="0" collapsed="false">
      <c r="A5" s="4" t="s">
        <v>148</v>
      </c>
      <c r="B5" s="14" t="n">
        <v>24.2</v>
      </c>
      <c r="E5" s="14" t="n">
        <v>47.6</v>
      </c>
      <c r="H5" s="14" t="n">
        <v>61.1</v>
      </c>
      <c r="I5" s="14" t="n">
        <v>54.5</v>
      </c>
    </row>
    <row r="6" customFormat="false" ht="15" hidden="false" customHeight="false" outlineLevel="0" collapsed="false">
      <c r="A6" s="4" t="s">
        <v>150</v>
      </c>
      <c r="B6" s="14" t="n">
        <v>21.6</v>
      </c>
      <c r="E6" s="14" t="n">
        <v>47.5</v>
      </c>
      <c r="H6" s="14" t="n">
        <v>38.5</v>
      </c>
      <c r="I6" s="14" t="n">
        <v>48.1</v>
      </c>
    </row>
    <row r="7" customFormat="false" ht="15" hidden="false" customHeight="false" outlineLevel="0" collapsed="false">
      <c r="A7" s="4" t="s">
        <v>151</v>
      </c>
      <c r="B7" s="14" t="n">
        <v>19</v>
      </c>
      <c r="E7" s="14" t="n">
        <v>46.9</v>
      </c>
      <c r="H7" s="14" t="n">
        <v>50.8</v>
      </c>
      <c r="I7" s="14" t="n">
        <v>48.5</v>
      </c>
    </row>
    <row r="8" customFormat="false" ht="15" hidden="false" customHeight="false" outlineLevel="0" collapsed="false">
      <c r="A8" s="4" t="s">
        <v>91</v>
      </c>
      <c r="B8" s="14" t="n">
        <v>16.8</v>
      </c>
      <c r="C8" s="22" t="n">
        <f aca="false">Series!H5</f>
        <v>13.6</v>
      </c>
      <c r="D8" s="15" t="n">
        <f aca="false">B8-C8</f>
        <v>3.2</v>
      </c>
      <c r="E8" s="14" t="n">
        <v>43.9</v>
      </c>
      <c r="F8" s="22" t="n">
        <f aca="false">Series!K5</f>
        <v>39.7</v>
      </c>
      <c r="G8" s="15" t="n">
        <f aca="false">E8-F8</f>
        <v>4.2</v>
      </c>
      <c r="H8" s="14" t="n">
        <v>45.1</v>
      </c>
      <c r="I8" s="14" t="n">
        <v>50.2</v>
      </c>
    </row>
    <row r="9" customFormat="false" ht="15" hidden="false" customHeight="false" outlineLevel="0" collapsed="false">
      <c r="A9" s="4" t="s">
        <v>94</v>
      </c>
      <c r="B9" s="14" t="n">
        <v>20.8</v>
      </c>
      <c r="C9" s="22" t="n">
        <f aca="false">Series!H6</f>
        <v>15.5</v>
      </c>
      <c r="D9" s="15" t="n">
        <f aca="false">B9-C9</f>
        <v>5.3</v>
      </c>
      <c r="E9" s="14" t="n">
        <v>46</v>
      </c>
      <c r="F9" s="22" t="n">
        <f aca="false">Series!K6</f>
        <v>39.1</v>
      </c>
      <c r="G9" s="15" t="n">
        <f aca="false">E9-F9</f>
        <v>6.9</v>
      </c>
      <c r="H9" s="14" t="n">
        <v>52.8</v>
      </c>
      <c r="I9" s="14" t="n">
        <v>57.6</v>
      </c>
    </row>
    <row r="10" customFormat="false" ht="15" hidden="false" customHeight="false" outlineLevel="0" collapsed="false">
      <c r="A10" s="4" t="s">
        <v>96</v>
      </c>
      <c r="B10" s="14" t="n">
        <v>17.4</v>
      </c>
      <c r="C10" s="22" t="n">
        <f aca="false">Series!H7</f>
        <v>11</v>
      </c>
      <c r="D10" s="15" t="n">
        <f aca="false">B10-C10</f>
        <v>6.4</v>
      </c>
      <c r="E10" s="14" t="n">
        <v>43.6</v>
      </c>
      <c r="F10" s="22" t="n">
        <f aca="false">Series!K7</f>
        <v>36.6</v>
      </c>
      <c r="G10" s="15" t="n">
        <f aca="false">E10-F10</f>
        <v>7</v>
      </c>
      <c r="H10" s="14" t="n">
        <v>32.6</v>
      </c>
      <c r="I10" s="14" t="n">
        <v>62.2</v>
      </c>
    </row>
    <row r="11" customFormat="false" ht="15" hidden="false" customHeight="false" outlineLevel="0" collapsed="false">
      <c r="A11" s="4" t="s">
        <v>98</v>
      </c>
      <c r="B11" s="14" t="n">
        <v>19.3</v>
      </c>
      <c r="C11" s="22" t="n">
        <f aca="false">Series!H8</f>
        <v>11.5</v>
      </c>
      <c r="D11" s="15" t="n">
        <f aca="false">B11-C11</f>
        <v>7.8</v>
      </c>
      <c r="E11" s="14" t="n">
        <v>46.5</v>
      </c>
      <c r="F11" s="22" t="n">
        <f aca="false">Series!K8</f>
        <v>37.5</v>
      </c>
      <c r="G11" s="15" t="n">
        <f aca="false">E11-F11</f>
        <v>9</v>
      </c>
      <c r="H11" s="14" t="n">
        <v>33.8</v>
      </c>
      <c r="I11" s="14" t="n">
        <v>55.5</v>
      </c>
    </row>
    <row r="12" customFormat="false" ht="15" hidden="false" customHeight="false" outlineLevel="0" collapsed="false">
      <c r="A12" s="4" t="s">
        <v>99</v>
      </c>
      <c r="B12" s="14" t="n">
        <v>17.8</v>
      </c>
      <c r="C12" s="22" t="n">
        <f aca="false">Series!H9</f>
        <v>9</v>
      </c>
      <c r="D12" s="15" t="n">
        <f aca="false">B12-C12</f>
        <v>8.8</v>
      </c>
      <c r="E12" s="14" t="n">
        <v>48.4</v>
      </c>
      <c r="F12" s="22" t="n">
        <f aca="false">Series!K9</f>
        <v>37.5</v>
      </c>
      <c r="G12" s="15" t="n">
        <f aca="false">E12-F12</f>
        <v>10.9</v>
      </c>
      <c r="H12" s="14" t="n">
        <v>27.7</v>
      </c>
      <c r="I12" s="14" t="n">
        <v>55.6</v>
      </c>
    </row>
    <row r="13" customFormat="false" ht="15" hidden="false" customHeight="false" outlineLevel="0" collapsed="false">
      <c r="A13" s="4" t="s">
        <v>100</v>
      </c>
      <c r="B13" s="14" t="n">
        <v>19.5</v>
      </c>
      <c r="C13" s="22" t="n">
        <f aca="false">Series!H10</f>
        <v>15.2</v>
      </c>
      <c r="D13" s="15" t="n">
        <f aca="false">B13-C13</f>
        <v>4.3</v>
      </c>
      <c r="E13" s="14" t="n">
        <v>46</v>
      </c>
      <c r="F13" s="22" t="n">
        <f aca="false">Series!K10</f>
        <v>41.9</v>
      </c>
      <c r="G13" s="15" t="n">
        <f aca="false">E13-F13</f>
        <v>4.1</v>
      </c>
      <c r="H13" s="14" t="n">
        <v>23.6</v>
      </c>
      <c r="I13" s="14" t="n">
        <v>55.5</v>
      </c>
    </row>
    <row r="14" customFormat="false" ht="15" hidden="false" customHeight="false" outlineLevel="0" collapsed="false">
      <c r="A14" s="4" t="s">
        <v>102</v>
      </c>
      <c r="B14" s="14" t="n">
        <v>21</v>
      </c>
      <c r="C14" s="22" t="n">
        <f aca="false">Series!H11</f>
        <v>15.9</v>
      </c>
      <c r="D14" s="15" t="n">
        <f aca="false">B14-C14</f>
        <v>5.1</v>
      </c>
      <c r="E14" s="14" t="n">
        <v>47</v>
      </c>
      <c r="F14" s="22" t="n">
        <f aca="false">Series!K11</f>
        <v>40.2</v>
      </c>
      <c r="G14" s="15" t="n">
        <f aca="false">E14-F14</f>
        <v>6.8</v>
      </c>
      <c r="H14" s="14" t="n">
        <v>19.2</v>
      </c>
      <c r="I14" s="14" t="n">
        <v>53.7</v>
      </c>
    </row>
    <row r="16" customFormat="false" ht="15" hidden="false" customHeight="false" outlineLevel="0" collapsed="false">
      <c r="A16" s="4" t="s">
        <v>415</v>
      </c>
      <c r="D16" s="15" t="n">
        <f aca="false">AVERAGE(D8:D14)</f>
        <v>5.84285714285714</v>
      </c>
      <c r="G16" s="15" t="n">
        <f aca="false">AVERAGE(G8:G14)</f>
        <v>6.98571428571429</v>
      </c>
    </row>
    <row r="17" customFormat="false" ht="15" hidden="false" customHeight="false" outlineLevel="0" collapsed="false">
      <c r="A17" s="4" t="s">
        <v>416</v>
      </c>
      <c r="D17" s="10" t="str">
        <f aca="false">TEXT(MIN(D8:D14),"0.0")&amp;" a "&amp;TEXT(MAX(D8:D14),"0.0")</f>
        <v>3.2 a 8.8</v>
      </c>
      <c r="G17" s="10" t="str">
        <f aca="false">TEXT(MIN(G8:G14),"0.0")&amp;" a "&amp;TEXT(MAX(G8:G14),"0.0")</f>
        <v>4.1 a 10.9</v>
      </c>
    </row>
    <row r="18" customFormat="false" ht="15" hidden="false" customHeight="false" outlineLevel="0" collapsed="false">
      <c r="A18" s="4" t="s">
        <v>417</v>
      </c>
      <c r="B18" s="15" t="n">
        <f aca="false">ROUND(AVERAGE(B5:B8),3)</f>
        <v>20.4</v>
      </c>
      <c r="E18" s="15" t="n">
        <f aca="false">ROUND(AVERAGE(E5:E8),3)</f>
        <v>46.475</v>
      </c>
      <c r="H18" s="15" t="n">
        <f aca="false">ROUND(AVERAGE(H5:H8),3)</f>
        <v>48.875</v>
      </c>
      <c r="I18" s="15" t="n">
        <f aca="false">ROUND(AVERAGE(I5:I8),3)</f>
        <v>50.325</v>
      </c>
    </row>
    <row r="20" customFormat="false" ht="15" hidden="false" customHeight="false" outlineLevel="0" collapsed="false">
      <c r="A20" s="21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5"/>
    <col collapsed="false" customWidth="true" hidden="false" outlineLevel="0" max="3" min="3" style="0" width="6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419</v>
      </c>
    </row>
    <row r="2" customFormat="false" ht="15" hidden="false" customHeight="false" outlineLevel="0" collapsed="false">
      <c r="A2" s="2" t="s">
        <v>420</v>
      </c>
    </row>
    <row r="4" customFormat="false" ht="48" hidden="false" customHeight="true" outlineLevel="0" collapsed="false">
      <c r="A4" s="9" t="s">
        <v>421</v>
      </c>
      <c r="B4" s="9" t="s">
        <v>422</v>
      </c>
      <c r="C4" s="9" t="s">
        <v>423</v>
      </c>
      <c r="D4" s="9" t="s">
        <v>424</v>
      </c>
    </row>
    <row r="5" customFormat="false" ht="26.85" hidden="false" customHeight="false" outlineLevel="0" collapsed="false">
      <c r="A5" s="30" t="s">
        <v>425</v>
      </c>
      <c r="B5" s="5" t="s">
        <v>426</v>
      </c>
      <c r="C5" s="5" t="s">
        <v>427</v>
      </c>
      <c r="D5" s="5" t="s">
        <v>428</v>
      </c>
    </row>
    <row r="6" customFormat="false" ht="26.85" hidden="false" customHeight="false" outlineLevel="0" collapsed="false">
      <c r="A6" s="30" t="s">
        <v>429</v>
      </c>
      <c r="B6" s="5" t="s">
        <v>430</v>
      </c>
      <c r="C6" s="5" t="s">
        <v>431</v>
      </c>
      <c r="D6" s="5" t="s">
        <v>432</v>
      </c>
    </row>
    <row r="7" customFormat="false" ht="26.85" hidden="false" customHeight="false" outlineLevel="0" collapsed="false">
      <c r="A7" s="30" t="s">
        <v>433</v>
      </c>
      <c r="B7" s="5" t="s">
        <v>434</v>
      </c>
      <c r="C7" s="5" t="s">
        <v>435</v>
      </c>
      <c r="D7" s="5" t="s">
        <v>432</v>
      </c>
    </row>
    <row r="8" customFormat="false" ht="26.85" hidden="false" customHeight="false" outlineLevel="0" collapsed="false">
      <c r="A8" s="30" t="s">
        <v>436</v>
      </c>
      <c r="B8" s="5" t="s">
        <v>437</v>
      </c>
      <c r="C8" s="5" t="s">
        <v>438</v>
      </c>
      <c r="D8" s="5" t="s">
        <v>432</v>
      </c>
    </row>
    <row r="9" customFormat="false" ht="26.85" hidden="false" customHeight="false" outlineLevel="0" collapsed="false">
      <c r="A9" s="30" t="s">
        <v>439</v>
      </c>
      <c r="B9" s="5" t="s">
        <v>440</v>
      </c>
      <c r="C9" s="5" t="s">
        <v>441</v>
      </c>
      <c r="D9" s="5" t="s">
        <v>432</v>
      </c>
    </row>
    <row r="10" customFormat="false" ht="39.55" hidden="false" customHeight="false" outlineLevel="0" collapsed="false">
      <c r="A10" s="30" t="s">
        <v>442</v>
      </c>
      <c r="B10" s="5" t="s">
        <v>443</v>
      </c>
      <c r="C10" s="5" t="s">
        <v>444</v>
      </c>
      <c r="D10" s="5" t="s">
        <v>445</v>
      </c>
    </row>
    <row r="11" customFormat="false" ht="26.85" hidden="false" customHeight="false" outlineLevel="0" collapsed="false">
      <c r="A11" s="30" t="s">
        <v>446</v>
      </c>
      <c r="B11" s="5" t="s">
        <v>447</v>
      </c>
      <c r="C11" s="5" t="s">
        <v>448</v>
      </c>
      <c r="D11" s="5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449</v>
      </c>
    </row>
    <row r="2" customFormat="false" ht="15" hidden="false" customHeight="false" outlineLevel="0" collapsed="false">
      <c r="A2" s="2" t="s">
        <v>450</v>
      </c>
    </row>
    <row r="4" customFormat="false" ht="48" hidden="false" customHeight="true" outlineLevel="0" collapsed="false">
      <c r="A4" s="9" t="s">
        <v>451</v>
      </c>
      <c r="B4" s="9" t="s">
        <v>452</v>
      </c>
      <c r="C4" s="9" t="s">
        <v>453</v>
      </c>
      <c r="D4" s="9" t="s">
        <v>454</v>
      </c>
      <c r="E4" s="9" t="s">
        <v>455</v>
      </c>
    </row>
    <row r="5" customFormat="false" ht="15" hidden="false" customHeight="false" outlineLevel="0" collapsed="false">
      <c r="A5" s="5" t="s">
        <v>456</v>
      </c>
      <c r="B5" s="5" t="s">
        <v>457</v>
      </c>
      <c r="C5" s="5" t="s">
        <v>457</v>
      </c>
      <c r="D5" s="5" t="s">
        <v>458</v>
      </c>
      <c r="E5" s="5" t="s">
        <v>459</v>
      </c>
    </row>
    <row r="6" customFormat="false" ht="26.85" hidden="false" customHeight="false" outlineLevel="0" collapsed="false">
      <c r="A6" s="5" t="s">
        <v>460</v>
      </c>
      <c r="B6" s="5" t="s">
        <v>461</v>
      </c>
      <c r="C6" s="5" t="s">
        <v>461</v>
      </c>
      <c r="D6" s="5" t="s">
        <v>458</v>
      </c>
      <c r="E6" s="5"/>
    </row>
    <row r="7" customFormat="false" ht="15" hidden="false" customHeight="false" outlineLevel="0" collapsed="false">
      <c r="A7" s="5" t="s">
        <v>462</v>
      </c>
      <c r="B7" s="5" t="s">
        <v>463</v>
      </c>
      <c r="C7" s="5" t="s">
        <v>463</v>
      </c>
      <c r="D7" s="5" t="s">
        <v>458</v>
      </c>
      <c r="E7" s="5" t="s">
        <v>464</v>
      </c>
    </row>
    <row r="8" customFormat="false" ht="26.85" hidden="false" customHeight="false" outlineLevel="0" collapsed="false">
      <c r="A8" s="5" t="s">
        <v>465</v>
      </c>
      <c r="B8" s="5" t="s">
        <v>466</v>
      </c>
      <c r="C8" s="5" t="s">
        <v>466</v>
      </c>
      <c r="D8" s="5" t="s">
        <v>458</v>
      </c>
      <c r="E8" s="5" t="s">
        <v>467</v>
      </c>
    </row>
    <row r="9" customFormat="false" ht="15" hidden="false" customHeight="false" outlineLevel="0" collapsed="false">
      <c r="A9" s="5" t="s">
        <v>468</v>
      </c>
      <c r="B9" s="5" t="s">
        <v>469</v>
      </c>
      <c r="C9" s="5" t="s">
        <v>469</v>
      </c>
      <c r="D9" s="5" t="s">
        <v>458</v>
      </c>
      <c r="E9" s="5"/>
    </row>
    <row r="10" customFormat="false" ht="15" hidden="false" customHeight="false" outlineLevel="0" collapsed="false">
      <c r="A10" s="5" t="s">
        <v>470</v>
      </c>
      <c r="B10" s="5" t="s">
        <v>471</v>
      </c>
      <c r="C10" s="5" t="s">
        <v>472</v>
      </c>
      <c r="D10" s="5" t="s">
        <v>473</v>
      </c>
      <c r="E10" s="5" t="s">
        <v>474</v>
      </c>
    </row>
    <row r="11" customFormat="false" ht="15" hidden="false" customHeight="false" outlineLevel="0" collapsed="false">
      <c r="A11" s="5" t="s">
        <v>475</v>
      </c>
      <c r="B11" s="5" t="s">
        <v>476</v>
      </c>
      <c r="C11" s="5" t="s">
        <v>477</v>
      </c>
      <c r="D11" s="5" t="s">
        <v>473</v>
      </c>
      <c r="E11" s="5" t="s">
        <v>478</v>
      </c>
    </row>
    <row r="12" customFormat="false" ht="15" hidden="false" customHeight="false" outlineLevel="0" collapsed="false">
      <c r="A12" s="5" t="s">
        <v>479</v>
      </c>
      <c r="B12" s="5" t="s">
        <v>480</v>
      </c>
      <c r="C12" s="5" t="s">
        <v>480</v>
      </c>
      <c r="D12" s="5" t="s">
        <v>458</v>
      </c>
      <c r="E12" s="5" t="s">
        <v>481</v>
      </c>
    </row>
    <row r="13" customFormat="false" ht="15" hidden="false" customHeight="false" outlineLevel="0" collapsed="false">
      <c r="A13" s="5" t="s">
        <v>482</v>
      </c>
      <c r="B13" s="5" t="s">
        <v>483</v>
      </c>
      <c r="C13" s="5" t="s">
        <v>483</v>
      </c>
      <c r="D13" s="5" t="s">
        <v>473</v>
      </c>
      <c r="E13" s="5" t="s">
        <v>484</v>
      </c>
    </row>
    <row r="14" customFormat="false" ht="15" hidden="false" customHeight="false" outlineLevel="0" collapsed="false">
      <c r="A14" s="5" t="s">
        <v>485</v>
      </c>
      <c r="B14" s="5" t="s">
        <v>486</v>
      </c>
      <c r="C14" s="5" t="s">
        <v>486</v>
      </c>
      <c r="D14" s="5" t="s">
        <v>458</v>
      </c>
      <c r="E14" s="5" t="s">
        <v>487</v>
      </c>
    </row>
    <row r="15" customFormat="false" ht="39.55" hidden="false" customHeight="false" outlineLevel="0" collapsed="false">
      <c r="A15" s="5" t="s">
        <v>488</v>
      </c>
      <c r="B15" s="5" t="s">
        <v>489</v>
      </c>
      <c r="C15" s="5" t="s">
        <v>490</v>
      </c>
      <c r="D15" s="5" t="s">
        <v>491</v>
      </c>
      <c r="E15" s="5" t="s">
        <v>492</v>
      </c>
    </row>
    <row r="16" customFormat="false" ht="39.55" hidden="false" customHeight="false" outlineLevel="0" collapsed="false">
      <c r="A16" s="5" t="s">
        <v>493</v>
      </c>
      <c r="B16" s="5" t="s">
        <v>494</v>
      </c>
      <c r="C16" s="5" t="s">
        <v>495</v>
      </c>
      <c r="D16" s="5" t="s">
        <v>491</v>
      </c>
      <c r="E16" s="5" t="s">
        <v>496</v>
      </c>
    </row>
    <row r="17" customFormat="false" ht="26.85" hidden="false" customHeight="false" outlineLevel="0" collapsed="false">
      <c r="A17" s="5" t="s">
        <v>497</v>
      </c>
      <c r="B17" s="5" t="s">
        <v>498</v>
      </c>
      <c r="C17" s="5" t="s">
        <v>499</v>
      </c>
      <c r="D17" s="5" t="s">
        <v>491</v>
      </c>
      <c r="E17" s="5" t="s">
        <v>500</v>
      </c>
    </row>
    <row r="18" customFormat="false" ht="15" hidden="false" customHeight="false" outlineLevel="0" collapsed="false">
      <c r="A18" s="5" t="s">
        <v>501</v>
      </c>
      <c r="B18" s="5" t="s">
        <v>502</v>
      </c>
      <c r="C18" s="5" t="s">
        <v>503</v>
      </c>
      <c r="D18" s="5" t="s">
        <v>473</v>
      </c>
      <c r="E18" s="5" t="s">
        <v>504</v>
      </c>
    </row>
    <row r="19" customFormat="false" ht="15" hidden="false" customHeight="false" outlineLevel="0" collapsed="false">
      <c r="A19" s="5" t="s">
        <v>505</v>
      </c>
      <c r="B19" s="5" t="s">
        <v>506</v>
      </c>
      <c r="C19" s="5" t="s">
        <v>506</v>
      </c>
      <c r="D19" s="5" t="s">
        <v>458</v>
      </c>
      <c r="E19" s="5" t="s">
        <v>507</v>
      </c>
    </row>
    <row r="20" customFormat="false" ht="26.85" hidden="false" customHeight="false" outlineLevel="0" collapsed="false">
      <c r="A20" s="5" t="s">
        <v>508</v>
      </c>
      <c r="B20" s="5" t="s">
        <v>466</v>
      </c>
      <c r="C20" s="5" t="s">
        <v>466</v>
      </c>
      <c r="D20" s="5" t="s">
        <v>458</v>
      </c>
      <c r="E20" s="5" t="s">
        <v>509</v>
      </c>
    </row>
    <row r="21" customFormat="false" ht="26.85" hidden="false" customHeight="false" outlineLevel="0" collapsed="false">
      <c r="A21" s="5" t="s">
        <v>510</v>
      </c>
      <c r="B21" s="5" t="s">
        <v>511</v>
      </c>
      <c r="C21" s="5" t="s">
        <v>512</v>
      </c>
      <c r="D21" s="5" t="s">
        <v>458</v>
      </c>
      <c r="E21" s="5" t="s">
        <v>513</v>
      </c>
    </row>
    <row r="22" customFormat="false" ht="26.85" hidden="false" customHeight="false" outlineLevel="0" collapsed="false">
      <c r="A22" s="5" t="s">
        <v>514</v>
      </c>
      <c r="B22" s="5" t="s">
        <v>515</v>
      </c>
      <c r="C22" s="5" t="s">
        <v>516</v>
      </c>
      <c r="D22" s="5" t="s">
        <v>473</v>
      </c>
      <c r="E22" s="5" t="s">
        <v>517</v>
      </c>
    </row>
    <row r="23" customFormat="false" ht="26.85" hidden="false" customHeight="false" outlineLevel="0" collapsed="false">
      <c r="A23" s="5" t="s">
        <v>518</v>
      </c>
      <c r="B23" s="5" t="s">
        <v>519</v>
      </c>
      <c r="C23" s="5" t="s">
        <v>519</v>
      </c>
      <c r="D23" s="5" t="s">
        <v>458</v>
      </c>
      <c r="E23" s="5"/>
    </row>
    <row r="24" customFormat="false" ht="26.85" hidden="false" customHeight="false" outlineLevel="0" collapsed="false">
      <c r="A24" s="5" t="s">
        <v>520</v>
      </c>
      <c r="B24" s="5" t="s">
        <v>521</v>
      </c>
      <c r="C24" s="5" t="s">
        <v>521</v>
      </c>
      <c r="D24" s="5" t="s">
        <v>458</v>
      </c>
      <c r="E24" s="5" t="s">
        <v>522</v>
      </c>
    </row>
    <row r="25" customFormat="false" ht="15" hidden="false" customHeight="false" outlineLevel="0" collapsed="false">
      <c r="A25" s="5" t="s">
        <v>523</v>
      </c>
      <c r="B25" s="5" t="s">
        <v>524</v>
      </c>
      <c r="C25" s="5" t="s">
        <v>524</v>
      </c>
      <c r="D25" s="5" t="s">
        <v>458</v>
      </c>
      <c r="E25" s="5" t="s">
        <v>525</v>
      </c>
    </row>
    <row r="28" customFormat="false" ht="15" hidden="false" customHeight="false" outlineLevel="0" collapsed="false">
      <c r="A28" s="3" t="s">
        <v>526</v>
      </c>
    </row>
    <row r="29" customFormat="false" ht="48" hidden="false" customHeight="true" outlineLevel="0" collapsed="false">
      <c r="A29" s="9" t="s">
        <v>527</v>
      </c>
      <c r="B29" s="9" t="s">
        <v>528</v>
      </c>
      <c r="C29" s="9" t="s">
        <v>529</v>
      </c>
      <c r="D29" s="9" t="s">
        <v>454</v>
      </c>
      <c r="E29" s="9" t="s">
        <v>455</v>
      </c>
    </row>
    <row r="30" customFormat="false" ht="26.85" hidden="false" customHeight="false" outlineLevel="0" collapsed="false">
      <c r="A30" s="5" t="s">
        <v>530</v>
      </c>
      <c r="B30" s="5" t="s">
        <v>531</v>
      </c>
      <c r="C30" s="5" t="s">
        <v>532</v>
      </c>
      <c r="D30" s="5" t="s">
        <v>533</v>
      </c>
      <c r="E30" s="5"/>
    </row>
    <row r="31" customFormat="false" ht="26.85" hidden="false" customHeight="false" outlineLevel="0" collapsed="false">
      <c r="A31" s="5" t="s">
        <v>534</v>
      </c>
      <c r="B31" s="5" t="s">
        <v>535</v>
      </c>
      <c r="C31" s="5" t="s">
        <v>17</v>
      </c>
      <c r="D31" s="5" t="s">
        <v>533</v>
      </c>
      <c r="E31" s="5"/>
    </row>
    <row r="32" customFormat="false" ht="15" hidden="false" customHeight="false" outlineLevel="0" collapsed="false">
      <c r="A32" s="5" t="s">
        <v>536</v>
      </c>
      <c r="B32" s="5" t="s">
        <v>537</v>
      </c>
      <c r="C32" s="5" t="s">
        <v>538</v>
      </c>
      <c r="D32" s="5" t="s">
        <v>533</v>
      </c>
      <c r="E32" s="5" t="s">
        <v>539</v>
      </c>
    </row>
    <row r="33" customFormat="false" ht="15" hidden="false" customHeight="false" outlineLevel="0" collapsed="false">
      <c r="A33" s="5" t="s">
        <v>540</v>
      </c>
      <c r="B33" s="5" t="s">
        <v>541</v>
      </c>
      <c r="C33" s="5" t="s">
        <v>5</v>
      </c>
      <c r="D33" s="5" t="s">
        <v>533</v>
      </c>
      <c r="E33" s="5"/>
    </row>
    <row r="34" customFormat="false" ht="15" hidden="false" customHeight="false" outlineLevel="0" collapsed="false">
      <c r="A34" s="5" t="s">
        <v>542</v>
      </c>
      <c r="B34" s="5" t="s">
        <v>543</v>
      </c>
      <c r="C34" s="5" t="s">
        <v>9</v>
      </c>
      <c r="D34" s="5" t="s">
        <v>533</v>
      </c>
      <c r="E34" s="5"/>
    </row>
    <row r="35" customFormat="false" ht="26.85" hidden="false" customHeight="false" outlineLevel="0" collapsed="false">
      <c r="A35" s="5" t="s">
        <v>544</v>
      </c>
      <c r="B35" s="5" t="s">
        <v>545</v>
      </c>
      <c r="C35" s="5" t="s">
        <v>9</v>
      </c>
      <c r="D35" s="5" t="s">
        <v>533</v>
      </c>
      <c r="E35" s="5" t="s">
        <v>546</v>
      </c>
    </row>
    <row r="36" customFormat="false" ht="15" hidden="false" customHeight="false" outlineLevel="0" collapsed="false">
      <c r="A36" s="5" t="s">
        <v>442</v>
      </c>
      <c r="B36" s="5" t="s">
        <v>547</v>
      </c>
      <c r="C36" s="5" t="s">
        <v>548</v>
      </c>
      <c r="D36" s="5" t="s">
        <v>549</v>
      </c>
      <c r="E36" s="5" t="s">
        <v>550</v>
      </c>
    </row>
    <row r="37" customFormat="false" ht="26.85" hidden="false" customHeight="false" outlineLevel="0" collapsed="false">
      <c r="A37" s="5" t="s">
        <v>551</v>
      </c>
      <c r="B37" s="5" t="s">
        <v>552</v>
      </c>
      <c r="C37" s="5" t="s">
        <v>553</v>
      </c>
      <c r="D37" s="5" t="s">
        <v>554</v>
      </c>
      <c r="E37" s="5" t="s">
        <v>555</v>
      </c>
    </row>
    <row r="38" customFormat="false" ht="15" hidden="false" customHeight="false" outlineLevel="0" collapsed="false">
      <c r="A38" s="5" t="s">
        <v>556</v>
      </c>
      <c r="B38" s="5" t="s">
        <v>557</v>
      </c>
      <c r="C38" s="5" t="s">
        <v>9</v>
      </c>
      <c r="D38" s="5" t="s">
        <v>533</v>
      </c>
      <c r="E38" s="5" t="s">
        <v>558</v>
      </c>
    </row>
    <row r="39" customFormat="false" ht="15" hidden="false" customHeight="false" outlineLevel="0" collapsed="false">
      <c r="A39" s="5" t="s">
        <v>559</v>
      </c>
      <c r="B39" s="5" t="s">
        <v>560</v>
      </c>
      <c r="C39" s="5" t="s">
        <v>11</v>
      </c>
      <c r="D39" s="5" t="s">
        <v>561</v>
      </c>
      <c r="E39" s="5" t="s">
        <v>562</v>
      </c>
    </row>
    <row r="40" customFormat="false" ht="26.85" hidden="false" customHeight="false" outlineLevel="0" collapsed="false">
      <c r="A40" s="5" t="s">
        <v>563</v>
      </c>
      <c r="B40" s="5" t="s">
        <v>564</v>
      </c>
      <c r="C40" s="5" t="s">
        <v>294</v>
      </c>
      <c r="D40" s="5" t="s">
        <v>549</v>
      </c>
      <c r="E40" s="5" t="s">
        <v>565</v>
      </c>
    </row>
    <row r="41" customFormat="false" ht="15" hidden="false" customHeight="false" outlineLevel="0" collapsed="false">
      <c r="A41" s="5" t="s">
        <v>566</v>
      </c>
      <c r="B41" s="5" t="s">
        <v>567</v>
      </c>
      <c r="C41" s="5" t="s">
        <v>13</v>
      </c>
      <c r="D41" s="5" t="s">
        <v>533</v>
      </c>
      <c r="E41" s="5"/>
    </row>
    <row r="42" customFormat="false" ht="26.85" hidden="false" customHeight="false" outlineLevel="0" collapsed="false">
      <c r="A42" s="5" t="s">
        <v>568</v>
      </c>
      <c r="B42" s="5" t="s">
        <v>569</v>
      </c>
      <c r="C42" s="5" t="s">
        <v>5</v>
      </c>
      <c r="D42" s="5" t="s">
        <v>554</v>
      </c>
      <c r="E42" s="5"/>
    </row>
    <row r="43" customFormat="false" ht="26.85" hidden="false" customHeight="false" outlineLevel="0" collapsed="false">
      <c r="A43" s="5" t="s">
        <v>570</v>
      </c>
      <c r="B43" s="5" t="s">
        <v>571</v>
      </c>
      <c r="C43" s="5" t="s">
        <v>572</v>
      </c>
      <c r="D43" s="5" t="s">
        <v>533</v>
      </c>
      <c r="E43" s="5"/>
    </row>
    <row r="44" customFormat="false" ht="26.85" hidden="false" customHeight="false" outlineLevel="0" collapsed="false">
      <c r="A44" s="5" t="s">
        <v>573</v>
      </c>
      <c r="B44" s="5" t="s">
        <v>574</v>
      </c>
      <c r="C44" s="5" t="s">
        <v>575</v>
      </c>
      <c r="D44" s="5" t="s">
        <v>533</v>
      </c>
      <c r="E44" s="5"/>
    </row>
    <row r="45" customFormat="false" ht="26.85" hidden="false" customHeight="false" outlineLevel="0" collapsed="false">
      <c r="A45" s="5" t="s">
        <v>576</v>
      </c>
      <c r="B45" s="5" t="s">
        <v>577</v>
      </c>
      <c r="C45" s="5" t="s">
        <v>578</v>
      </c>
      <c r="D45" s="5" t="s">
        <v>533</v>
      </c>
      <c r="E45" s="5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580</v>
      </c>
    </row>
    <row r="2" customFormat="false" ht="15" hidden="false" customHeight="false" outlineLevel="0" collapsed="false">
      <c r="A2" s="2" t="s">
        <v>581</v>
      </c>
    </row>
    <row r="4" customFormat="false" ht="48" hidden="false" customHeight="true" outlineLevel="0" collapsed="false">
      <c r="A4" s="9" t="s">
        <v>582</v>
      </c>
      <c r="B4" s="9" t="s">
        <v>583</v>
      </c>
      <c r="C4" s="9" t="s">
        <v>584</v>
      </c>
    </row>
    <row r="5" customFormat="false" ht="15" hidden="false" customHeight="false" outlineLevel="0" collapsed="false">
      <c r="A5" s="10" t="s">
        <v>585</v>
      </c>
      <c r="B5" s="10" t="s">
        <v>586</v>
      </c>
      <c r="C5" s="10" t="s">
        <v>587</v>
      </c>
    </row>
    <row r="6" customFormat="false" ht="15" hidden="false" customHeight="false" outlineLevel="0" collapsed="false">
      <c r="A6" s="10" t="s">
        <v>588</v>
      </c>
      <c r="B6" s="10" t="s">
        <v>589</v>
      </c>
      <c r="C6" s="10" t="s">
        <v>590</v>
      </c>
    </row>
    <row r="7" customFormat="false" ht="15" hidden="false" customHeight="false" outlineLevel="0" collapsed="false">
      <c r="A7" s="10" t="s">
        <v>591</v>
      </c>
      <c r="B7" s="10" t="s">
        <v>592</v>
      </c>
      <c r="C7" s="10" t="s">
        <v>593</v>
      </c>
    </row>
    <row r="8" customFormat="false" ht="15" hidden="false" customHeight="false" outlineLevel="0" collapsed="false">
      <c r="A8" s="10" t="s">
        <v>594</v>
      </c>
      <c r="B8" s="10" t="s">
        <v>595</v>
      </c>
      <c r="C8" s="10" t="s">
        <v>596</v>
      </c>
    </row>
    <row r="9" customFormat="false" ht="15" hidden="false" customHeight="false" outlineLevel="0" collapsed="false">
      <c r="A9" s="10" t="s">
        <v>597</v>
      </c>
      <c r="B9" s="10" t="s">
        <v>598</v>
      </c>
      <c r="C9" s="10" t="s">
        <v>599</v>
      </c>
    </row>
    <row r="10" customFormat="false" ht="15" hidden="false" customHeight="false" outlineLevel="0" collapsed="false">
      <c r="A10" s="10" t="s">
        <v>600</v>
      </c>
      <c r="B10" s="10" t="s">
        <v>601</v>
      </c>
      <c r="C10" s="10" t="s">
        <v>602</v>
      </c>
    </row>
    <row r="11" customFormat="false" ht="15" hidden="false" customHeight="false" outlineLevel="0" collapsed="false">
      <c r="A11" s="10" t="s">
        <v>603</v>
      </c>
      <c r="B11" s="10" t="s">
        <v>604</v>
      </c>
      <c r="C11" s="10" t="s">
        <v>605</v>
      </c>
    </row>
    <row r="12" customFormat="false" ht="15" hidden="false" customHeight="false" outlineLevel="0" collapsed="false">
      <c r="A12" s="10" t="s">
        <v>606</v>
      </c>
      <c r="B12" s="10" t="s">
        <v>607</v>
      </c>
      <c r="C12" s="10" t="s">
        <v>608</v>
      </c>
    </row>
    <row r="13" customFormat="false" ht="15" hidden="false" customHeight="false" outlineLevel="0" collapsed="false">
      <c r="A13" s="10" t="s">
        <v>609</v>
      </c>
      <c r="B13" s="10" t="s">
        <v>610</v>
      </c>
      <c r="C13" s="10" t="s">
        <v>611</v>
      </c>
    </row>
    <row r="14" customFormat="false" ht="15" hidden="false" customHeight="false" outlineLevel="0" collapsed="false">
      <c r="A14" s="10" t="s">
        <v>612</v>
      </c>
      <c r="B14" s="10" t="s">
        <v>613</v>
      </c>
      <c r="C14" s="10" t="s">
        <v>614</v>
      </c>
    </row>
    <row r="15" customFormat="false" ht="15" hidden="false" customHeight="false" outlineLevel="0" collapsed="false">
      <c r="A15" s="10" t="s">
        <v>615</v>
      </c>
      <c r="B15" s="10" t="s">
        <v>616</v>
      </c>
      <c r="C15" s="10" t="s">
        <v>617</v>
      </c>
    </row>
    <row r="16" customFormat="false" ht="15" hidden="false" customHeight="false" outlineLevel="0" collapsed="false">
      <c r="A16" s="10" t="s">
        <v>618</v>
      </c>
      <c r="B16" s="10" t="s">
        <v>616</v>
      </c>
      <c r="C16" s="10" t="s">
        <v>619</v>
      </c>
    </row>
    <row r="17" customFormat="false" ht="15" hidden="false" customHeight="false" outlineLevel="0" collapsed="false">
      <c r="A17" s="10" t="s">
        <v>620</v>
      </c>
      <c r="B17" s="10" t="s">
        <v>621</v>
      </c>
      <c r="C17" s="10" t="s">
        <v>622</v>
      </c>
    </row>
    <row r="18" customFormat="false" ht="15" hidden="false" customHeight="false" outlineLevel="0" collapsed="false">
      <c r="A18" s="10" t="s">
        <v>623</v>
      </c>
      <c r="B18" s="10" t="s">
        <v>624</v>
      </c>
      <c r="C18" s="10" t="s">
        <v>625</v>
      </c>
    </row>
    <row r="19" customFormat="false" ht="15" hidden="false" customHeight="false" outlineLevel="0" collapsed="false">
      <c r="A19" s="10" t="s">
        <v>626</v>
      </c>
      <c r="B19" s="10" t="s">
        <v>627</v>
      </c>
      <c r="C19" s="10" t="s">
        <v>628</v>
      </c>
    </row>
    <row r="20" customFormat="false" ht="15" hidden="false" customHeight="false" outlineLevel="0" collapsed="false">
      <c r="A20" s="10" t="s">
        <v>629</v>
      </c>
      <c r="B20" s="10" t="s">
        <v>630</v>
      </c>
      <c r="C20" s="10" t="s">
        <v>631</v>
      </c>
    </row>
    <row r="21" customFormat="false" ht="15" hidden="false" customHeight="false" outlineLevel="0" collapsed="false">
      <c r="A21" s="10" t="s">
        <v>632</v>
      </c>
      <c r="B21" s="10" t="s">
        <v>633</v>
      </c>
      <c r="C21" s="10" t="s">
        <v>634</v>
      </c>
    </row>
    <row r="22" customFormat="false" ht="15" hidden="false" customHeight="false" outlineLevel="0" collapsed="false">
      <c r="A22" s="10" t="s">
        <v>635</v>
      </c>
      <c r="B22" s="10" t="s">
        <v>636</v>
      </c>
      <c r="C22" s="10" t="s">
        <v>637</v>
      </c>
    </row>
    <row r="23" customFormat="false" ht="15" hidden="false" customHeight="false" outlineLevel="0" collapsed="false">
      <c r="A23" s="10" t="s">
        <v>638</v>
      </c>
      <c r="B23" s="10" t="s">
        <v>639</v>
      </c>
      <c r="C23" s="10" t="s">
        <v>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2026-10-14T23:41:20Z</dcterms:created>
  <dc:creator>openpyxl</dc:creator>
  <dc:description/>
  <dc:language>en-US</dc:language>
  <cp:lastModifiedBy/>
  <dcterms:modified xsi:type="dcterms:W3CDTF">2026-10-14T23:41:22Z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